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drawings/drawing3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drawings/drawing4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drawings/drawing5.xml" ContentType="application/vnd.openxmlformats-officedocument.drawing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drawings/drawing6.xml" ContentType="application/vnd.openxmlformats-officedocument.drawing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drawings/drawing7.xml" ContentType="application/vnd.openxmlformats-officedocument.drawing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drawings/drawing8.xml" ContentType="application/vnd.openxmlformats-officedocument.drawing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drawings/drawing9.xml" ContentType="application/vnd.openxmlformats-officedocument.drawing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drawings/drawing10.xml" ContentType="application/vnd.openxmlformats-officedocument.drawing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drawings/drawing11.xml" ContentType="application/vnd.openxmlformats-officedocument.drawing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drawings/drawing12.xml" ContentType="application/vnd.openxmlformats-officedocument.drawing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drawings/drawing13.xml" ContentType="application/vnd.openxmlformats-officedocument.drawing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drawings/drawing14.xml" ContentType="application/vnd.openxmlformats-officedocument.drawing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drawings/drawing15.xml" ContentType="application/vnd.openxmlformats-officedocument.drawing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drawings/drawing16.xml" ContentType="application/vnd.openxmlformats-officedocument.drawing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drawings/drawing17.xml" ContentType="application/vnd.openxmlformats-officedocument.drawing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drawings/drawing18.xml" ContentType="application/vnd.openxmlformats-officedocument.drawing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drawings/drawing19.xml" ContentType="application/vnd.openxmlformats-officedocument.drawing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drawings/drawing20.xml" ContentType="application/vnd.openxmlformats-officedocument.drawing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drawings/drawing21.xml" ContentType="application/vnd.openxmlformats-officedocument.drawing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drawings/drawing22.xml" ContentType="application/vnd.openxmlformats-officedocument.drawing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drawings/drawing23.xml" ContentType="application/vnd.openxmlformats-officedocument.drawing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drawings/drawing24.xml" ContentType="application/vnd.openxmlformats-officedocument.drawing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drawings/drawing25.xml" ContentType="application/vnd.openxmlformats-officedocument.drawing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drawings/drawing26.xml" ContentType="application/vnd.openxmlformats-officedocument.drawing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drawings/drawing27.xml" ContentType="application/vnd.openxmlformats-officedocument.drawing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drawings/drawing28.xml" ContentType="application/vnd.openxmlformats-officedocument.drawing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E:\Self Learning\03. Learn Python\Python_Workspace\ETL_Excel_with_Pandas\"/>
    </mc:Choice>
  </mc:AlternateContent>
  <xr:revisionPtr revIDLastSave="0" documentId="13_ncr:1_{139AB48A-952D-42AB-9780-F74F4CE77E7D}" xr6:coauthVersionLast="47" xr6:coauthVersionMax="47" xr10:uidLastSave="{00000000-0000-0000-0000-000000000000}"/>
  <bookViews>
    <workbookView xWindow="-120" yWindow="-120" windowWidth="29040" windowHeight="17520" xr2:uid="{6C492E3C-9A71-4455-B226-C9427BD792D4}"/>
  </bookViews>
  <sheets>
    <sheet name="Sign" sheetId="2" r:id="rId1"/>
    <sheet name="01" sheetId="4" r:id="rId2"/>
    <sheet name="02" sheetId="5" r:id="rId3"/>
    <sheet name="03" sheetId="6" r:id="rId4"/>
    <sheet name="04" sheetId="7" r:id="rId5"/>
    <sheet name="05" sheetId="8" r:id="rId6"/>
    <sheet name="06" sheetId="9" r:id="rId7"/>
    <sheet name="07" sheetId="10" r:id="rId8"/>
    <sheet name="08" sheetId="11" r:id="rId9"/>
    <sheet name="09" sheetId="12" r:id="rId10"/>
    <sheet name="10" sheetId="13" r:id="rId11"/>
    <sheet name="11" sheetId="14" r:id="rId12"/>
    <sheet name="12" sheetId="15" r:id="rId13"/>
    <sheet name="13" sheetId="16" r:id="rId14"/>
    <sheet name="14" sheetId="17" r:id="rId15"/>
    <sheet name="15" sheetId="18" r:id="rId16"/>
    <sheet name="16" sheetId="19" r:id="rId17"/>
    <sheet name="17" sheetId="20" r:id="rId18"/>
    <sheet name="18" sheetId="21" r:id="rId19"/>
    <sheet name="19" sheetId="22" r:id="rId20"/>
    <sheet name="20" sheetId="23" r:id="rId21"/>
    <sheet name="21" sheetId="24" r:id="rId22"/>
    <sheet name="22" sheetId="25" r:id="rId23"/>
    <sheet name="23" sheetId="26" r:id="rId24"/>
    <sheet name="24" sheetId="27" r:id="rId25"/>
    <sheet name="25" sheetId="28" r:id="rId26"/>
    <sheet name="26" sheetId="29" r:id="rId27"/>
    <sheet name="27" sheetId="30" r:id="rId28"/>
    <sheet name="28" sheetId="31" r:id="rId29"/>
    <sheet name="Summary" sheetId="32" r:id="rId30"/>
  </sheets>
  <definedNames>
    <definedName name="_">Sign!$B$6</definedName>
    <definedName name="M.Yusof">Sign!$B$5</definedName>
    <definedName name="Meikel_Sanjaya">Sign!$B$4</definedName>
    <definedName name="Mohd_Sufi">Sign!$B$2</definedName>
    <definedName name="Name">Sign!$A$2:$A$6</definedName>
    <definedName name="Nil">Sign!$B$6</definedName>
    <definedName name="Ronal_Gultom">Sign!$B$3</definedName>
    <definedName name="SPT">Sign!$E$2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20" i="32" l="1"/>
  <c r="AG16" i="32"/>
  <c r="F14" i="32"/>
  <c r="AF13" i="32"/>
  <c r="F10" i="32"/>
  <c r="F9" i="32"/>
  <c r="AF8" i="32"/>
  <c r="AH5" i="32"/>
  <c r="AE5" i="32"/>
  <c r="AH4" i="32"/>
  <c r="R33" i="31"/>
  <c r="P33" i="31"/>
  <c r="AH26" i="32" s="1"/>
  <c r="R32" i="31"/>
  <c r="P32" i="31"/>
  <c r="R31" i="31"/>
  <c r="P31" i="31"/>
  <c r="AH24" i="32" s="1"/>
  <c r="R30" i="31"/>
  <c r="P30" i="31"/>
  <c r="AH23" i="32" s="1"/>
  <c r="R29" i="31"/>
  <c r="P29" i="31"/>
  <c r="AH22" i="32" s="1"/>
  <c r="R28" i="31"/>
  <c r="P28" i="31"/>
  <c r="R27" i="31"/>
  <c r="P27" i="31"/>
  <c r="R26" i="31"/>
  <c r="P26" i="31"/>
  <c r="R25" i="31"/>
  <c r="P25" i="31"/>
  <c r="R24" i="31"/>
  <c r="P24" i="31"/>
  <c r="AH17" i="32" s="1"/>
  <c r="R23" i="31"/>
  <c r="P23" i="31"/>
  <c r="R22" i="31"/>
  <c r="P22" i="31"/>
  <c r="R21" i="31"/>
  <c r="P21" i="31"/>
  <c r="F21" i="31"/>
  <c r="R20" i="31"/>
  <c r="P20" i="31"/>
  <c r="AH13" i="32" s="1"/>
  <c r="R19" i="31"/>
  <c r="P19" i="31"/>
  <c r="R18" i="31"/>
  <c r="P18" i="31"/>
  <c r="R17" i="31"/>
  <c r="P17" i="31"/>
  <c r="F17" i="31"/>
  <c r="R16" i="31"/>
  <c r="P16" i="31"/>
  <c r="F16" i="31"/>
  <c r="R15" i="31"/>
  <c r="P15" i="31"/>
  <c r="AH8" i="32" s="1"/>
  <c r="R14" i="31"/>
  <c r="P14" i="31"/>
  <c r="R13" i="31"/>
  <c r="P13" i="31"/>
  <c r="R12" i="31"/>
  <c r="P12" i="31"/>
  <c r="R11" i="31"/>
  <c r="P11" i="31"/>
  <c r="E5" i="31"/>
  <c r="D5" i="31"/>
  <c r="R33" i="30"/>
  <c r="P33" i="30"/>
  <c r="R32" i="30"/>
  <c r="P32" i="30"/>
  <c r="AG25" i="32" s="1"/>
  <c r="R31" i="30"/>
  <c r="P31" i="30"/>
  <c r="AG24" i="32" s="1"/>
  <c r="R30" i="30"/>
  <c r="P30" i="30"/>
  <c r="AG23" i="32" s="1"/>
  <c r="R29" i="30"/>
  <c r="P29" i="30"/>
  <c r="R28" i="30"/>
  <c r="P28" i="30"/>
  <c r="AG21" i="32" s="1"/>
  <c r="R27" i="30"/>
  <c r="P27" i="30"/>
  <c r="R26" i="30"/>
  <c r="P26" i="30"/>
  <c r="AG19" i="32" s="1"/>
  <c r="R25" i="30"/>
  <c r="P25" i="30"/>
  <c r="R24" i="30"/>
  <c r="P24" i="30"/>
  <c r="R23" i="30"/>
  <c r="P23" i="30"/>
  <c r="R22" i="30"/>
  <c r="P22" i="30"/>
  <c r="R21" i="30"/>
  <c r="P21" i="30"/>
  <c r="F21" i="30"/>
  <c r="R20" i="30"/>
  <c r="P20" i="30"/>
  <c r="R19" i="30"/>
  <c r="P19" i="30"/>
  <c r="R18" i="30"/>
  <c r="P18" i="30"/>
  <c r="AG11" i="32" s="1"/>
  <c r="R17" i="30"/>
  <c r="P17" i="30"/>
  <c r="AG10" i="32" s="1"/>
  <c r="F17" i="30"/>
  <c r="R16" i="30"/>
  <c r="P16" i="30"/>
  <c r="F16" i="30"/>
  <c r="R15" i="30"/>
  <c r="P15" i="30"/>
  <c r="R14" i="30"/>
  <c r="P14" i="30"/>
  <c r="R13" i="30"/>
  <c r="P13" i="30"/>
  <c r="AG6" i="32" s="1"/>
  <c r="R12" i="30"/>
  <c r="P12" i="30"/>
  <c r="AG5" i="32" s="1"/>
  <c r="R11" i="30"/>
  <c r="P11" i="30"/>
  <c r="AG4" i="32" s="1"/>
  <c r="E5" i="30"/>
  <c r="D5" i="30"/>
  <c r="R33" i="29"/>
  <c r="P33" i="29"/>
  <c r="AF26" i="32" s="1"/>
  <c r="R32" i="29"/>
  <c r="P32" i="29"/>
  <c r="R31" i="29"/>
  <c r="P31" i="29"/>
  <c r="R30" i="29"/>
  <c r="P30" i="29"/>
  <c r="R29" i="29"/>
  <c r="P29" i="29"/>
  <c r="AF22" i="32" s="1"/>
  <c r="R28" i="29"/>
  <c r="P28" i="29"/>
  <c r="AF21" i="32" s="1"/>
  <c r="R27" i="29"/>
  <c r="P27" i="29"/>
  <c r="AF20" i="32" s="1"/>
  <c r="R26" i="29"/>
  <c r="P26" i="29"/>
  <c r="R25" i="29"/>
  <c r="P25" i="29"/>
  <c r="AF18" i="32" s="1"/>
  <c r="R24" i="29"/>
  <c r="P24" i="29"/>
  <c r="AF17" i="32" s="1"/>
  <c r="R23" i="29"/>
  <c r="P23" i="29"/>
  <c r="AF16" i="32" s="1"/>
  <c r="R22" i="29"/>
  <c r="P22" i="29"/>
  <c r="R21" i="29"/>
  <c r="P21" i="29"/>
  <c r="AF14" i="32" s="1"/>
  <c r="F21" i="29"/>
  <c r="R20" i="29"/>
  <c r="P20" i="29"/>
  <c r="R19" i="29"/>
  <c r="P19" i="29"/>
  <c r="R18" i="29"/>
  <c r="P18" i="29"/>
  <c r="R17" i="29"/>
  <c r="P17" i="29"/>
  <c r="AF10" i="32" s="1"/>
  <c r="F17" i="29"/>
  <c r="R16" i="29"/>
  <c r="P16" i="29"/>
  <c r="F16" i="29"/>
  <c r="R15" i="29"/>
  <c r="P15" i="29"/>
  <c r="R14" i="29"/>
  <c r="P14" i="29"/>
  <c r="AF7" i="32" s="1"/>
  <c r="R13" i="29"/>
  <c r="P13" i="29"/>
  <c r="R12" i="29"/>
  <c r="P12" i="29"/>
  <c r="R11" i="29"/>
  <c r="P11" i="29"/>
  <c r="E5" i="29"/>
  <c r="D5" i="29"/>
  <c r="R33" i="28"/>
  <c r="P33" i="28"/>
  <c r="AE26" i="32" s="1"/>
  <c r="R32" i="28"/>
  <c r="P32" i="28"/>
  <c r="R31" i="28"/>
  <c r="P31" i="28"/>
  <c r="R30" i="28"/>
  <c r="P30" i="28"/>
  <c r="R29" i="28"/>
  <c r="P29" i="28"/>
  <c r="R28" i="28"/>
  <c r="P28" i="28"/>
  <c r="R27" i="28"/>
  <c r="P27" i="28"/>
  <c r="R26" i="28"/>
  <c r="P26" i="28"/>
  <c r="R25" i="28"/>
  <c r="P25" i="28"/>
  <c r="R24" i="28"/>
  <c r="P24" i="28"/>
  <c r="R23" i="28"/>
  <c r="P23" i="28"/>
  <c r="R22" i="28"/>
  <c r="P22" i="28"/>
  <c r="R21" i="28"/>
  <c r="P21" i="28"/>
  <c r="F21" i="28"/>
  <c r="R20" i="28"/>
  <c r="P20" i="28"/>
  <c r="AE13" i="32" s="1"/>
  <c r="R19" i="28"/>
  <c r="P19" i="28"/>
  <c r="R18" i="28"/>
  <c r="P18" i="28"/>
  <c r="R17" i="28"/>
  <c r="P17" i="28"/>
  <c r="AE10" i="32" s="1"/>
  <c r="F17" i="28"/>
  <c r="R16" i="28"/>
  <c r="P16" i="28"/>
  <c r="AE9" i="32" s="1"/>
  <c r="F16" i="28"/>
  <c r="R15" i="28"/>
  <c r="P15" i="28"/>
  <c r="AE8" i="32" s="1"/>
  <c r="R14" i="28"/>
  <c r="P14" i="28"/>
  <c r="AE7" i="32" s="1"/>
  <c r="R13" i="28"/>
  <c r="P13" i="28"/>
  <c r="R12" i="28"/>
  <c r="P12" i="28"/>
  <c r="R11" i="28"/>
  <c r="P11" i="28"/>
  <c r="E5" i="28"/>
  <c r="D5" i="28"/>
  <c r="R33" i="27"/>
  <c r="P33" i="27"/>
  <c r="AD26" i="32" s="1"/>
  <c r="R32" i="27"/>
  <c r="P32" i="27"/>
  <c r="R31" i="27"/>
  <c r="P31" i="27"/>
  <c r="R30" i="27"/>
  <c r="P30" i="27"/>
  <c r="R29" i="27"/>
  <c r="P29" i="27"/>
  <c r="AD22" i="32" s="1"/>
  <c r="R28" i="27"/>
  <c r="P28" i="27"/>
  <c r="R27" i="27"/>
  <c r="P27" i="27"/>
  <c r="R26" i="27"/>
  <c r="P26" i="27"/>
  <c r="R25" i="27"/>
  <c r="P25" i="27"/>
  <c r="AD18" i="32" s="1"/>
  <c r="R24" i="27"/>
  <c r="P24" i="27"/>
  <c r="AD17" i="32" s="1"/>
  <c r="R23" i="27"/>
  <c r="P23" i="27"/>
  <c r="R22" i="27"/>
  <c r="P22" i="27"/>
  <c r="R21" i="27"/>
  <c r="P21" i="27"/>
  <c r="AD14" i="32" s="1"/>
  <c r="F21" i="27"/>
  <c r="R20" i="27"/>
  <c r="P20" i="27"/>
  <c r="AD13" i="32" s="1"/>
  <c r="R19" i="27"/>
  <c r="P19" i="27"/>
  <c r="AD12" i="32" s="1"/>
  <c r="R18" i="27"/>
  <c r="P18" i="27"/>
  <c r="AD11" i="32" s="1"/>
  <c r="R17" i="27"/>
  <c r="P17" i="27"/>
  <c r="F17" i="27"/>
  <c r="R16" i="27"/>
  <c r="P16" i="27"/>
  <c r="F16" i="27"/>
  <c r="R15" i="27"/>
  <c r="P15" i="27"/>
  <c r="AD8" i="32" s="1"/>
  <c r="R14" i="27"/>
  <c r="P14" i="27"/>
  <c r="AD7" i="32" s="1"/>
  <c r="R13" i="27"/>
  <c r="P13" i="27"/>
  <c r="R12" i="27"/>
  <c r="P12" i="27"/>
  <c r="R11" i="27"/>
  <c r="P11" i="27"/>
  <c r="E5" i="27"/>
  <c r="D5" i="27"/>
  <c r="R33" i="26"/>
  <c r="P33" i="26"/>
  <c r="R32" i="26"/>
  <c r="P32" i="26"/>
  <c r="R31" i="26"/>
  <c r="P31" i="26"/>
  <c r="R30" i="26"/>
  <c r="P30" i="26"/>
  <c r="R29" i="26"/>
  <c r="P29" i="26"/>
  <c r="R28" i="26"/>
  <c r="P28" i="26"/>
  <c r="R27" i="26"/>
  <c r="P27" i="26"/>
  <c r="R26" i="26"/>
  <c r="P26" i="26"/>
  <c r="R25" i="26"/>
  <c r="P25" i="26"/>
  <c r="R24" i="26"/>
  <c r="P24" i="26"/>
  <c r="R23" i="26"/>
  <c r="P23" i="26"/>
  <c r="R22" i="26"/>
  <c r="P22" i="26"/>
  <c r="R21" i="26"/>
  <c r="P21" i="26"/>
  <c r="F21" i="26"/>
  <c r="R20" i="26"/>
  <c r="P20" i="26"/>
  <c r="AC13" i="32" s="1"/>
  <c r="R19" i="26"/>
  <c r="P19" i="26"/>
  <c r="R18" i="26"/>
  <c r="P18" i="26"/>
  <c r="AC11" i="32" s="1"/>
  <c r="R17" i="26"/>
  <c r="P17" i="26"/>
  <c r="F17" i="26"/>
  <c r="R16" i="26"/>
  <c r="P16" i="26"/>
  <c r="F16" i="26"/>
  <c r="R15" i="26"/>
  <c r="P15" i="26"/>
  <c r="R14" i="26"/>
  <c r="P14" i="26"/>
  <c r="R13" i="26"/>
  <c r="P13" i="26"/>
  <c r="R12" i="26"/>
  <c r="P12" i="26"/>
  <c r="R11" i="26"/>
  <c r="P11" i="26"/>
  <c r="E5" i="26"/>
  <c r="D5" i="26"/>
  <c r="R33" i="25"/>
  <c r="P33" i="25"/>
  <c r="AB26" i="32" s="1"/>
  <c r="R32" i="25"/>
  <c r="P32" i="25"/>
  <c r="R31" i="25"/>
  <c r="P31" i="25"/>
  <c r="AB24" i="32" s="1"/>
  <c r="R30" i="25"/>
  <c r="P30" i="25"/>
  <c r="R29" i="25"/>
  <c r="P29" i="25"/>
  <c r="AB22" i="32" s="1"/>
  <c r="R28" i="25"/>
  <c r="P28" i="25"/>
  <c r="R27" i="25"/>
  <c r="P27" i="25"/>
  <c r="AB20" i="32" s="1"/>
  <c r="R26" i="25"/>
  <c r="P26" i="25"/>
  <c r="R25" i="25"/>
  <c r="P25" i="25"/>
  <c r="AB18" i="32" s="1"/>
  <c r="R24" i="25"/>
  <c r="P24" i="25"/>
  <c r="R23" i="25"/>
  <c r="P23" i="25"/>
  <c r="AB16" i="32" s="1"/>
  <c r="R22" i="25"/>
  <c r="P22" i="25"/>
  <c r="R21" i="25"/>
  <c r="P21" i="25"/>
  <c r="AB14" i="32" s="1"/>
  <c r="F21" i="25"/>
  <c r="R20" i="25"/>
  <c r="P20" i="25"/>
  <c r="R19" i="25"/>
  <c r="P19" i="25"/>
  <c r="R18" i="25"/>
  <c r="P18" i="25"/>
  <c r="R17" i="25"/>
  <c r="P17" i="25"/>
  <c r="F17" i="25"/>
  <c r="R16" i="25"/>
  <c r="P16" i="25"/>
  <c r="F16" i="25"/>
  <c r="R15" i="25"/>
  <c r="P15" i="25"/>
  <c r="R14" i="25"/>
  <c r="P14" i="25"/>
  <c r="AB7" i="32" s="1"/>
  <c r="R13" i="25"/>
  <c r="P13" i="25"/>
  <c r="R12" i="25"/>
  <c r="P12" i="25"/>
  <c r="AB5" i="32" s="1"/>
  <c r="R11" i="25"/>
  <c r="P11" i="25"/>
  <c r="E5" i="25"/>
  <c r="D5" i="25"/>
  <c r="R33" i="24"/>
  <c r="P33" i="24"/>
  <c r="R32" i="24"/>
  <c r="P32" i="24"/>
  <c r="R31" i="24"/>
  <c r="P31" i="24"/>
  <c r="R30" i="24"/>
  <c r="P30" i="24"/>
  <c r="R29" i="24"/>
  <c r="P29" i="24"/>
  <c r="R28" i="24"/>
  <c r="P28" i="24"/>
  <c r="R27" i="24"/>
  <c r="P27" i="24"/>
  <c r="R26" i="24"/>
  <c r="P26" i="24"/>
  <c r="R25" i="24"/>
  <c r="P25" i="24"/>
  <c r="R24" i="24"/>
  <c r="P24" i="24"/>
  <c r="R23" i="24"/>
  <c r="P23" i="24"/>
  <c r="R22" i="24"/>
  <c r="P22" i="24"/>
  <c r="R21" i="24"/>
  <c r="P21" i="24"/>
  <c r="F21" i="24"/>
  <c r="R20" i="24"/>
  <c r="P20" i="24"/>
  <c r="R19" i="24"/>
  <c r="P19" i="24"/>
  <c r="R18" i="24"/>
  <c r="P18" i="24"/>
  <c r="AA11" i="32" s="1"/>
  <c r="R17" i="24"/>
  <c r="P17" i="24"/>
  <c r="F17" i="24"/>
  <c r="R16" i="24"/>
  <c r="P16" i="24"/>
  <c r="F16" i="24"/>
  <c r="R15" i="24"/>
  <c r="P15" i="24"/>
  <c r="R14" i="24"/>
  <c r="P14" i="24"/>
  <c r="R13" i="24"/>
  <c r="P13" i="24"/>
  <c r="R12" i="24"/>
  <c r="P12" i="24"/>
  <c r="R11" i="24"/>
  <c r="P11" i="24"/>
  <c r="E5" i="24"/>
  <c r="D5" i="24"/>
  <c r="R33" i="23"/>
  <c r="P33" i="23"/>
  <c r="Z26" i="32" s="1"/>
  <c r="R32" i="23"/>
  <c r="P32" i="23"/>
  <c r="R31" i="23"/>
  <c r="P31" i="23"/>
  <c r="Z24" i="32" s="1"/>
  <c r="R30" i="23"/>
  <c r="P30" i="23"/>
  <c r="R29" i="23"/>
  <c r="P29" i="23"/>
  <c r="Z22" i="32" s="1"/>
  <c r="R28" i="23"/>
  <c r="P28" i="23"/>
  <c r="R27" i="23"/>
  <c r="P27" i="23"/>
  <c r="Z20" i="32" s="1"/>
  <c r="R26" i="23"/>
  <c r="P26" i="23"/>
  <c r="R25" i="23"/>
  <c r="P25" i="23"/>
  <c r="Z18" i="32" s="1"/>
  <c r="R24" i="23"/>
  <c r="P24" i="23"/>
  <c r="R23" i="23"/>
  <c r="P23" i="23"/>
  <c r="Z16" i="32" s="1"/>
  <c r="R22" i="23"/>
  <c r="P22" i="23"/>
  <c r="R21" i="23"/>
  <c r="P21" i="23"/>
  <c r="Z14" i="32" s="1"/>
  <c r="F21" i="23"/>
  <c r="R20" i="23"/>
  <c r="P20" i="23"/>
  <c r="R19" i="23"/>
  <c r="P19" i="23"/>
  <c r="R18" i="23"/>
  <c r="P18" i="23"/>
  <c r="Z11" i="32" s="1"/>
  <c r="R17" i="23"/>
  <c r="P17" i="23"/>
  <c r="F17" i="23"/>
  <c r="R16" i="23"/>
  <c r="P16" i="23"/>
  <c r="F16" i="23"/>
  <c r="R15" i="23"/>
  <c r="P15" i="23"/>
  <c r="R14" i="23"/>
  <c r="P14" i="23"/>
  <c r="Z7" i="32" s="1"/>
  <c r="R13" i="23"/>
  <c r="P13" i="23"/>
  <c r="R12" i="23"/>
  <c r="P12" i="23"/>
  <c r="Z5" i="32" s="1"/>
  <c r="R11" i="23"/>
  <c r="P11" i="23"/>
  <c r="E5" i="23"/>
  <c r="D5" i="23"/>
  <c r="R33" i="22"/>
  <c r="P33" i="22"/>
  <c r="Y26" i="32" s="1"/>
  <c r="R32" i="22"/>
  <c r="P32" i="22"/>
  <c r="Y25" i="32" s="1"/>
  <c r="R31" i="22"/>
  <c r="P31" i="22"/>
  <c r="R30" i="22"/>
  <c r="P30" i="22"/>
  <c r="R29" i="22"/>
  <c r="P29" i="22"/>
  <c r="Y22" i="32" s="1"/>
  <c r="R28" i="22"/>
  <c r="P28" i="22"/>
  <c r="Y21" i="32" s="1"/>
  <c r="R27" i="22"/>
  <c r="P27" i="22"/>
  <c r="Y20" i="32" s="1"/>
  <c r="R26" i="22"/>
  <c r="P26" i="22"/>
  <c r="R25" i="22"/>
  <c r="P25" i="22"/>
  <c r="Y18" i="32" s="1"/>
  <c r="R24" i="22"/>
  <c r="P24" i="22"/>
  <c r="Y17" i="32" s="1"/>
  <c r="R23" i="22"/>
  <c r="P23" i="22"/>
  <c r="Y16" i="32" s="1"/>
  <c r="R22" i="22"/>
  <c r="P22" i="22"/>
  <c r="R21" i="22"/>
  <c r="P21" i="22"/>
  <c r="Y14" i="32" s="1"/>
  <c r="F21" i="22"/>
  <c r="R20" i="22"/>
  <c r="P20" i="22"/>
  <c r="R19" i="22"/>
  <c r="P19" i="22"/>
  <c r="R18" i="22"/>
  <c r="P18" i="22"/>
  <c r="Y11" i="32" s="1"/>
  <c r="R17" i="22"/>
  <c r="P17" i="22"/>
  <c r="F17" i="22"/>
  <c r="R16" i="22"/>
  <c r="P16" i="22"/>
  <c r="F16" i="22"/>
  <c r="R15" i="22"/>
  <c r="P15" i="22"/>
  <c r="R14" i="22"/>
  <c r="P14" i="22"/>
  <c r="Y7" i="32" s="1"/>
  <c r="R13" i="22"/>
  <c r="P13" i="22"/>
  <c r="Y6" i="32" s="1"/>
  <c r="R12" i="22"/>
  <c r="P12" i="22"/>
  <c r="Y5" i="32" s="1"/>
  <c r="R11" i="22"/>
  <c r="P11" i="22"/>
  <c r="E5" i="22"/>
  <c r="D5" i="22"/>
  <c r="R33" i="21"/>
  <c r="P33" i="21"/>
  <c r="R32" i="21"/>
  <c r="P32" i="21"/>
  <c r="R31" i="21"/>
  <c r="P31" i="21"/>
  <c r="X24" i="32" s="1"/>
  <c r="R30" i="21"/>
  <c r="P30" i="21"/>
  <c r="R29" i="21"/>
  <c r="P29" i="21"/>
  <c r="R28" i="21"/>
  <c r="P28" i="21"/>
  <c r="R27" i="21"/>
  <c r="P27" i="21"/>
  <c r="X20" i="32" s="1"/>
  <c r="R26" i="21"/>
  <c r="P26" i="21"/>
  <c r="R25" i="21"/>
  <c r="P25" i="21"/>
  <c r="R24" i="21"/>
  <c r="P24" i="21"/>
  <c r="R23" i="21"/>
  <c r="P23" i="21"/>
  <c r="X16" i="32" s="1"/>
  <c r="R22" i="21"/>
  <c r="P22" i="21"/>
  <c r="R21" i="21"/>
  <c r="P21" i="21"/>
  <c r="F21" i="21"/>
  <c r="R20" i="21"/>
  <c r="P20" i="21"/>
  <c r="R19" i="21"/>
  <c r="P19" i="21"/>
  <c r="R18" i="21"/>
  <c r="P18" i="21"/>
  <c r="R17" i="21"/>
  <c r="P17" i="21"/>
  <c r="F17" i="21"/>
  <c r="R16" i="21"/>
  <c r="P16" i="21"/>
  <c r="F16" i="21"/>
  <c r="R15" i="21"/>
  <c r="P15" i="21"/>
  <c r="R14" i="21"/>
  <c r="P14" i="21"/>
  <c r="R13" i="21"/>
  <c r="P13" i="21"/>
  <c r="R12" i="21"/>
  <c r="P12" i="21"/>
  <c r="X5" i="32" s="1"/>
  <c r="R11" i="21"/>
  <c r="P11" i="21"/>
  <c r="E5" i="21"/>
  <c r="D5" i="21"/>
  <c r="R33" i="20"/>
  <c r="P33" i="20"/>
  <c r="R32" i="20"/>
  <c r="P32" i="20"/>
  <c r="R31" i="20"/>
  <c r="P31" i="20"/>
  <c r="W24" i="32" s="1"/>
  <c r="R30" i="20"/>
  <c r="P30" i="20"/>
  <c r="R29" i="20"/>
  <c r="P29" i="20"/>
  <c r="R28" i="20"/>
  <c r="P28" i="20"/>
  <c r="R27" i="20"/>
  <c r="P27" i="20"/>
  <c r="W20" i="32" s="1"/>
  <c r="R26" i="20"/>
  <c r="P26" i="20"/>
  <c r="R25" i="20"/>
  <c r="P25" i="20"/>
  <c r="R24" i="20"/>
  <c r="P24" i="20"/>
  <c r="R23" i="20"/>
  <c r="P23" i="20"/>
  <c r="W16" i="32" s="1"/>
  <c r="R22" i="20"/>
  <c r="P22" i="20"/>
  <c r="R21" i="20"/>
  <c r="P21" i="20"/>
  <c r="F21" i="20"/>
  <c r="R20" i="20"/>
  <c r="P20" i="20"/>
  <c r="R19" i="20"/>
  <c r="P19" i="20"/>
  <c r="R18" i="20"/>
  <c r="P18" i="20"/>
  <c r="W11" i="32" s="1"/>
  <c r="R17" i="20"/>
  <c r="P17" i="20"/>
  <c r="F17" i="20"/>
  <c r="R16" i="20"/>
  <c r="P16" i="20"/>
  <c r="F16" i="20"/>
  <c r="R15" i="20"/>
  <c r="P15" i="20"/>
  <c r="R14" i="20"/>
  <c r="P14" i="20"/>
  <c r="R13" i="20"/>
  <c r="P13" i="20"/>
  <c r="R12" i="20"/>
  <c r="P12" i="20"/>
  <c r="W5" i="32" s="1"/>
  <c r="R11" i="20"/>
  <c r="P11" i="20"/>
  <c r="E5" i="20"/>
  <c r="D5" i="20"/>
  <c r="R33" i="19"/>
  <c r="P33" i="19"/>
  <c r="R32" i="19"/>
  <c r="P32" i="19"/>
  <c r="R31" i="19"/>
  <c r="P31" i="19"/>
  <c r="R30" i="19"/>
  <c r="P30" i="19"/>
  <c r="R29" i="19"/>
  <c r="P29" i="19"/>
  <c r="R28" i="19"/>
  <c r="P28" i="19"/>
  <c r="R27" i="19"/>
  <c r="P27" i="19"/>
  <c r="R26" i="19"/>
  <c r="P26" i="19"/>
  <c r="R25" i="19"/>
  <c r="P25" i="19"/>
  <c r="R24" i="19"/>
  <c r="P24" i="19"/>
  <c r="R23" i="19"/>
  <c r="P23" i="19"/>
  <c r="R22" i="19"/>
  <c r="P22" i="19"/>
  <c r="R21" i="19"/>
  <c r="P21" i="19"/>
  <c r="F21" i="19"/>
  <c r="R20" i="19"/>
  <c r="P20" i="19"/>
  <c r="R19" i="19"/>
  <c r="P19" i="19"/>
  <c r="R18" i="19"/>
  <c r="P18" i="19"/>
  <c r="V11" i="32" s="1"/>
  <c r="R17" i="19"/>
  <c r="P17" i="19"/>
  <c r="F17" i="19"/>
  <c r="R16" i="19"/>
  <c r="P16" i="19"/>
  <c r="F16" i="19"/>
  <c r="R15" i="19"/>
  <c r="P15" i="19"/>
  <c r="R14" i="19"/>
  <c r="P14" i="19"/>
  <c r="R13" i="19"/>
  <c r="P13" i="19"/>
  <c r="R12" i="19"/>
  <c r="P12" i="19"/>
  <c r="R11" i="19"/>
  <c r="P11" i="19"/>
  <c r="E5" i="19"/>
  <c r="D5" i="19"/>
  <c r="R33" i="18"/>
  <c r="P33" i="18"/>
  <c r="R32" i="18"/>
  <c r="P32" i="18"/>
  <c r="R31" i="18"/>
  <c r="P31" i="18"/>
  <c r="U24" i="32" s="1"/>
  <c r="R30" i="18"/>
  <c r="P30" i="18"/>
  <c r="R29" i="18"/>
  <c r="P29" i="18"/>
  <c r="R28" i="18"/>
  <c r="P28" i="18"/>
  <c r="R27" i="18"/>
  <c r="P27" i="18"/>
  <c r="U20" i="32" s="1"/>
  <c r="R26" i="18"/>
  <c r="P26" i="18"/>
  <c r="R25" i="18"/>
  <c r="P25" i="18"/>
  <c r="R24" i="18"/>
  <c r="P24" i="18"/>
  <c r="R23" i="18"/>
  <c r="P23" i="18"/>
  <c r="U16" i="32" s="1"/>
  <c r="R22" i="18"/>
  <c r="P22" i="18"/>
  <c r="R21" i="18"/>
  <c r="P21" i="18"/>
  <c r="F21" i="18"/>
  <c r="R20" i="18"/>
  <c r="P20" i="18"/>
  <c r="R19" i="18"/>
  <c r="P19" i="18"/>
  <c r="R18" i="18"/>
  <c r="P18" i="18"/>
  <c r="U11" i="32" s="1"/>
  <c r="R17" i="18"/>
  <c r="P17" i="18"/>
  <c r="F17" i="18"/>
  <c r="R16" i="18"/>
  <c r="P16" i="18"/>
  <c r="F16" i="18"/>
  <c r="R15" i="18"/>
  <c r="P15" i="18"/>
  <c r="R14" i="18"/>
  <c r="P14" i="18"/>
  <c r="R13" i="18"/>
  <c r="P13" i="18"/>
  <c r="R12" i="18"/>
  <c r="P12" i="18"/>
  <c r="U5" i="32" s="1"/>
  <c r="R11" i="18"/>
  <c r="P11" i="18"/>
  <c r="E5" i="18"/>
  <c r="D5" i="18"/>
  <c r="R33" i="17"/>
  <c r="P33" i="17"/>
  <c r="R32" i="17"/>
  <c r="P32" i="17"/>
  <c r="R31" i="17"/>
  <c r="P31" i="17"/>
  <c r="T24" i="32" s="1"/>
  <c r="R30" i="17"/>
  <c r="P30" i="17"/>
  <c r="R29" i="17"/>
  <c r="P29" i="17"/>
  <c r="T22" i="32" s="1"/>
  <c r="R28" i="17"/>
  <c r="P28" i="17"/>
  <c r="R27" i="17"/>
  <c r="P27" i="17"/>
  <c r="T20" i="32" s="1"/>
  <c r="R26" i="17"/>
  <c r="P26" i="17"/>
  <c r="R25" i="17"/>
  <c r="P25" i="17"/>
  <c r="T18" i="32" s="1"/>
  <c r="R24" i="17"/>
  <c r="P24" i="17"/>
  <c r="R23" i="17"/>
  <c r="P23" i="17"/>
  <c r="T16" i="32" s="1"/>
  <c r="R22" i="17"/>
  <c r="P22" i="17"/>
  <c r="R21" i="17"/>
  <c r="P21" i="17"/>
  <c r="T14" i="32" s="1"/>
  <c r="F21" i="17"/>
  <c r="R20" i="17"/>
  <c r="P20" i="17"/>
  <c r="R19" i="17"/>
  <c r="P19" i="17"/>
  <c r="R18" i="17"/>
  <c r="P18" i="17"/>
  <c r="R17" i="17"/>
  <c r="P17" i="17"/>
  <c r="F17" i="17"/>
  <c r="R16" i="17"/>
  <c r="P16" i="17"/>
  <c r="F16" i="17"/>
  <c r="R15" i="17"/>
  <c r="P15" i="17"/>
  <c r="T8" i="32" s="1"/>
  <c r="R14" i="17"/>
  <c r="P14" i="17"/>
  <c r="T7" i="32" s="1"/>
  <c r="R13" i="17"/>
  <c r="P13" i="17"/>
  <c r="R12" i="17"/>
  <c r="P12" i="17"/>
  <c r="T5" i="32" s="1"/>
  <c r="R11" i="17"/>
  <c r="P11" i="17"/>
  <c r="T4" i="32" s="1"/>
  <c r="E5" i="17"/>
  <c r="D5" i="17"/>
  <c r="R33" i="16"/>
  <c r="P33" i="16"/>
  <c r="R32" i="16"/>
  <c r="P32" i="16"/>
  <c r="R31" i="16"/>
  <c r="P31" i="16"/>
  <c r="R30" i="16"/>
  <c r="P30" i="16"/>
  <c r="S23" i="32" s="1"/>
  <c r="R29" i="16"/>
  <c r="P29" i="16"/>
  <c r="R28" i="16"/>
  <c r="P28" i="16"/>
  <c r="R27" i="16"/>
  <c r="P27" i="16"/>
  <c r="R26" i="16"/>
  <c r="P26" i="16"/>
  <c r="S19" i="32" s="1"/>
  <c r="R25" i="16"/>
  <c r="P25" i="16"/>
  <c r="R24" i="16"/>
  <c r="P24" i="16"/>
  <c r="R23" i="16"/>
  <c r="P23" i="16"/>
  <c r="R22" i="16"/>
  <c r="P22" i="16"/>
  <c r="S15" i="32" s="1"/>
  <c r="R21" i="16"/>
  <c r="P21" i="16"/>
  <c r="F21" i="16"/>
  <c r="R20" i="16"/>
  <c r="P20" i="16"/>
  <c r="S13" i="32" s="1"/>
  <c r="R19" i="16"/>
  <c r="P19" i="16"/>
  <c r="S12" i="32" s="1"/>
  <c r="R18" i="16"/>
  <c r="P18" i="16"/>
  <c r="R17" i="16"/>
  <c r="P17" i="16"/>
  <c r="F17" i="16"/>
  <c r="R16" i="16"/>
  <c r="P16" i="16"/>
  <c r="F16" i="16"/>
  <c r="R15" i="16"/>
  <c r="P15" i="16"/>
  <c r="S8" i="32" s="1"/>
  <c r="R14" i="16"/>
  <c r="P14" i="16"/>
  <c r="R13" i="16"/>
  <c r="P13" i="16"/>
  <c r="R12" i="16"/>
  <c r="P12" i="16"/>
  <c r="R11" i="16"/>
  <c r="P11" i="16"/>
  <c r="S4" i="32" s="1"/>
  <c r="E5" i="16"/>
  <c r="D5" i="16"/>
  <c r="R33" i="15"/>
  <c r="P33" i="15"/>
  <c r="R32" i="15"/>
  <c r="P32" i="15"/>
  <c r="R31" i="15"/>
  <c r="P31" i="15"/>
  <c r="R24" i="32" s="1"/>
  <c r="R30" i="15"/>
  <c r="P30" i="15"/>
  <c r="R29" i="15"/>
  <c r="P29" i="15"/>
  <c r="R28" i="15"/>
  <c r="P28" i="15"/>
  <c r="R27" i="15"/>
  <c r="P27" i="15"/>
  <c r="R20" i="32" s="1"/>
  <c r="R26" i="15"/>
  <c r="P26" i="15"/>
  <c r="R25" i="15"/>
  <c r="P25" i="15"/>
  <c r="R24" i="15"/>
  <c r="P24" i="15"/>
  <c r="R23" i="15"/>
  <c r="P23" i="15"/>
  <c r="R16" i="32" s="1"/>
  <c r="R22" i="15"/>
  <c r="P22" i="15"/>
  <c r="R21" i="15"/>
  <c r="P21" i="15"/>
  <c r="F21" i="15"/>
  <c r="R20" i="15"/>
  <c r="P20" i="15"/>
  <c r="R19" i="15"/>
  <c r="P19" i="15"/>
  <c r="R18" i="15"/>
  <c r="P18" i="15"/>
  <c r="R11" i="32" s="1"/>
  <c r="R17" i="15"/>
  <c r="P17" i="15"/>
  <c r="F17" i="15"/>
  <c r="R16" i="15"/>
  <c r="P16" i="15"/>
  <c r="F16" i="15"/>
  <c r="R15" i="15"/>
  <c r="P15" i="15"/>
  <c r="R14" i="15"/>
  <c r="P14" i="15"/>
  <c r="R13" i="15"/>
  <c r="P13" i="15"/>
  <c r="R12" i="15"/>
  <c r="P12" i="15"/>
  <c r="R5" i="32" s="1"/>
  <c r="R11" i="15"/>
  <c r="P11" i="15"/>
  <c r="E5" i="15"/>
  <c r="D5" i="15"/>
  <c r="R33" i="14"/>
  <c r="P33" i="14"/>
  <c r="R32" i="14"/>
  <c r="P32" i="14"/>
  <c r="R31" i="14"/>
  <c r="P31" i="14"/>
  <c r="Q24" i="32" s="1"/>
  <c r="R30" i="14"/>
  <c r="P30" i="14"/>
  <c r="R29" i="14"/>
  <c r="P29" i="14"/>
  <c r="R28" i="14"/>
  <c r="P28" i="14"/>
  <c r="R27" i="14"/>
  <c r="P27" i="14"/>
  <c r="Q20" i="32" s="1"/>
  <c r="R26" i="14"/>
  <c r="P26" i="14"/>
  <c r="R25" i="14"/>
  <c r="P25" i="14"/>
  <c r="R24" i="14"/>
  <c r="P24" i="14"/>
  <c r="R23" i="14"/>
  <c r="P23" i="14"/>
  <c r="Q16" i="32" s="1"/>
  <c r="R22" i="14"/>
  <c r="P22" i="14"/>
  <c r="R21" i="14"/>
  <c r="P21" i="14"/>
  <c r="F21" i="14"/>
  <c r="R20" i="14"/>
  <c r="P20" i="14"/>
  <c r="R19" i="14"/>
  <c r="P19" i="14"/>
  <c r="R18" i="14"/>
  <c r="P18" i="14"/>
  <c r="Q11" i="32" s="1"/>
  <c r="R17" i="14"/>
  <c r="P17" i="14"/>
  <c r="F17" i="14"/>
  <c r="R16" i="14"/>
  <c r="P16" i="14"/>
  <c r="F16" i="14"/>
  <c r="R15" i="14"/>
  <c r="P15" i="14"/>
  <c r="R14" i="14"/>
  <c r="P14" i="14"/>
  <c r="R13" i="14"/>
  <c r="P13" i="14"/>
  <c r="R12" i="14"/>
  <c r="P12" i="14"/>
  <c r="Q5" i="32" s="1"/>
  <c r="R11" i="14"/>
  <c r="P11" i="14"/>
  <c r="E5" i="14"/>
  <c r="D5" i="14"/>
  <c r="R33" i="13"/>
  <c r="P33" i="13"/>
  <c r="R32" i="13"/>
  <c r="P32" i="13"/>
  <c r="R31" i="13"/>
  <c r="P31" i="13"/>
  <c r="P24" i="32" s="1"/>
  <c r="R30" i="13"/>
  <c r="P30" i="13"/>
  <c r="R29" i="13"/>
  <c r="P29" i="13"/>
  <c r="R28" i="13"/>
  <c r="P28" i="13"/>
  <c r="R27" i="13"/>
  <c r="P27" i="13"/>
  <c r="R26" i="13"/>
  <c r="P26" i="13"/>
  <c r="R25" i="13"/>
  <c r="P25" i="13"/>
  <c r="R24" i="13"/>
  <c r="P24" i="13"/>
  <c r="R23" i="13"/>
  <c r="P23" i="13"/>
  <c r="P16" i="32" s="1"/>
  <c r="R22" i="13"/>
  <c r="P22" i="13"/>
  <c r="R21" i="13"/>
  <c r="P21" i="13"/>
  <c r="F21" i="13"/>
  <c r="R20" i="13"/>
  <c r="P20" i="13"/>
  <c r="R19" i="13"/>
  <c r="P19" i="13"/>
  <c r="R18" i="13"/>
  <c r="P18" i="13"/>
  <c r="P11" i="32" s="1"/>
  <c r="R17" i="13"/>
  <c r="P17" i="13"/>
  <c r="F17" i="13"/>
  <c r="R16" i="13"/>
  <c r="P16" i="13"/>
  <c r="F16" i="13"/>
  <c r="R15" i="13"/>
  <c r="P15" i="13"/>
  <c r="R14" i="13"/>
  <c r="P14" i="13"/>
  <c r="R13" i="13"/>
  <c r="P13" i="13"/>
  <c r="R12" i="13"/>
  <c r="P12" i="13"/>
  <c r="R11" i="13"/>
  <c r="P11" i="13"/>
  <c r="E5" i="13"/>
  <c r="D5" i="13"/>
  <c r="R33" i="12"/>
  <c r="P33" i="12"/>
  <c r="O26" i="32" s="1"/>
  <c r="R32" i="12"/>
  <c r="P32" i="12"/>
  <c r="R31" i="12"/>
  <c r="P31" i="12"/>
  <c r="O24" i="32" s="1"/>
  <c r="R30" i="12"/>
  <c r="P30" i="12"/>
  <c r="R29" i="12"/>
  <c r="P29" i="12"/>
  <c r="R28" i="12"/>
  <c r="P28" i="12"/>
  <c r="O21" i="32" s="1"/>
  <c r="R27" i="12"/>
  <c r="P27" i="12"/>
  <c r="O20" i="32" s="1"/>
  <c r="R26" i="12"/>
  <c r="P26" i="12"/>
  <c r="R25" i="12"/>
  <c r="P25" i="12"/>
  <c r="O18" i="32" s="1"/>
  <c r="R24" i="12"/>
  <c r="P24" i="12"/>
  <c r="O17" i="32" s="1"/>
  <c r="R23" i="12"/>
  <c r="P23" i="12"/>
  <c r="O16" i="32" s="1"/>
  <c r="R22" i="12"/>
  <c r="P22" i="12"/>
  <c r="R21" i="12"/>
  <c r="P21" i="12"/>
  <c r="O14" i="32" s="1"/>
  <c r="F21" i="12"/>
  <c r="R20" i="12"/>
  <c r="P20" i="12"/>
  <c r="R19" i="12"/>
  <c r="P19" i="12"/>
  <c r="R18" i="12"/>
  <c r="P18" i="12"/>
  <c r="O11" i="32" s="1"/>
  <c r="R17" i="12"/>
  <c r="P17" i="12"/>
  <c r="F17" i="12"/>
  <c r="R16" i="12"/>
  <c r="P16" i="12"/>
  <c r="F16" i="12"/>
  <c r="R15" i="12"/>
  <c r="P15" i="12"/>
  <c r="R14" i="12"/>
  <c r="P14" i="12"/>
  <c r="O7" i="32" s="1"/>
  <c r="R13" i="12"/>
  <c r="P13" i="12"/>
  <c r="O6" i="32" s="1"/>
  <c r="R12" i="12"/>
  <c r="P12" i="12"/>
  <c r="O5" i="32" s="1"/>
  <c r="R11" i="12"/>
  <c r="P11" i="12"/>
  <c r="E5" i="12"/>
  <c r="D5" i="12"/>
  <c r="R33" i="11"/>
  <c r="P33" i="11"/>
  <c r="R32" i="11"/>
  <c r="P32" i="11"/>
  <c r="R31" i="11"/>
  <c r="P31" i="11"/>
  <c r="R30" i="11"/>
  <c r="P30" i="11"/>
  <c r="R29" i="11"/>
  <c r="P29" i="11"/>
  <c r="R28" i="11"/>
  <c r="P28" i="11"/>
  <c r="R27" i="11"/>
  <c r="P27" i="11"/>
  <c r="N20" i="32" s="1"/>
  <c r="R26" i="11"/>
  <c r="P26" i="11"/>
  <c r="R25" i="11"/>
  <c r="P25" i="11"/>
  <c r="R24" i="11"/>
  <c r="P24" i="11"/>
  <c r="R23" i="11"/>
  <c r="P23" i="11"/>
  <c r="N16" i="32" s="1"/>
  <c r="R22" i="11"/>
  <c r="P22" i="11"/>
  <c r="R21" i="11"/>
  <c r="P21" i="11"/>
  <c r="F21" i="11"/>
  <c r="R20" i="11"/>
  <c r="P20" i="11"/>
  <c r="R19" i="11"/>
  <c r="P19" i="11"/>
  <c r="R18" i="11"/>
  <c r="P18" i="11"/>
  <c r="N11" i="32" s="1"/>
  <c r="R17" i="11"/>
  <c r="P17" i="11"/>
  <c r="F17" i="11"/>
  <c r="R16" i="11"/>
  <c r="P16" i="11"/>
  <c r="F16" i="11"/>
  <c r="R15" i="11"/>
  <c r="P15" i="11"/>
  <c r="R14" i="11"/>
  <c r="P14" i="11"/>
  <c r="R13" i="11"/>
  <c r="P13" i="11"/>
  <c r="R12" i="11"/>
  <c r="P12" i="11"/>
  <c r="R11" i="11"/>
  <c r="P11" i="11"/>
  <c r="E5" i="11"/>
  <c r="D5" i="11"/>
  <c r="R33" i="10"/>
  <c r="P33" i="10"/>
  <c r="M26" i="32" s="1"/>
  <c r="R32" i="10"/>
  <c r="P32" i="10"/>
  <c r="R31" i="10"/>
  <c r="P31" i="10"/>
  <c r="M24" i="32" s="1"/>
  <c r="R30" i="10"/>
  <c r="P30" i="10"/>
  <c r="R29" i="10"/>
  <c r="P29" i="10"/>
  <c r="M22" i="32" s="1"/>
  <c r="R28" i="10"/>
  <c r="P28" i="10"/>
  <c r="R27" i="10"/>
  <c r="P27" i="10"/>
  <c r="M20" i="32" s="1"/>
  <c r="R26" i="10"/>
  <c r="P26" i="10"/>
  <c r="R25" i="10"/>
  <c r="P25" i="10"/>
  <c r="M18" i="32" s="1"/>
  <c r="R24" i="10"/>
  <c r="P24" i="10"/>
  <c r="R23" i="10"/>
  <c r="P23" i="10"/>
  <c r="M16" i="32" s="1"/>
  <c r="R22" i="10"/>
  <c r="P22" i="10"/>
  <c r="R21" i="10"/>
  <c r="P21" i="10"/>
  <c r="F21" i="10"/>
  <c r="R20" i="10"/>
  <c r="P20" i="10"/>
  <c r="R19" i="10"/>
  <c r="P19" i="10"/>
  <c r="R18" i="10"/>
  <c r="P18" i="10"/>
  <c r="R17" i="10"/>
  <c r="P17" i="10"/>
  <c r="F17" i="10"/>
  <c r="R16" i="10"/>
  <c r="P16" i="10"/>
  <c r="F16" i="10"/>
  <c r="R15" i="10"/>
  <c r="P15" i="10"/>
  <c r="R14" i="10"/>
  <c r="P14" i="10"/>
  <c r="M7" i="32" s="1"/>
  <c r="R13" i="10"/>
  <c r="P13" i="10"/>
  <c r="R12" i="10"/>
  <c r="P12" i="10"/>
  <c r="R11" i="10"/>
  <c r="P11" i="10"/>
  <c r="E5" i="10"/>
  <c r="D5" i="10"/>
  <c r="R33" i="9"/>
  <c r="P33" i="9"/>
  <c r="R32" i="9"/>
  <c r="P32" i="9"/>
  <c r="R31" i="9"/>
  <c r="P31" i="9"/>
  <c r="L24" i="32" s="1"/>
  <c r="R30" i="9"/>
  <c r="P30" i="9"/>
  <c r="R29" i="9"/>
  <c r="P29" i="9"/>
  <c r="R28" i="9"/>
  <c r="P28" i="9"/>
  <c r="R27" i="9"/>
  <c r="P27" i="9"/>
  <c r="L20" i="32" s="1"/>
  <c r="R26" i="9"/>
  <c r="P26" i="9"/>
  <c r="R25" i="9"/>
  <c r="P25" i="9"/>
  <c r="R24" i="9"/>
  <c r="P24" i="9"/>
  <c r="R23" i="9"/>
  <c r="P23" i="9"/>
  <c r="L16" i="32" s="1"/>
  <c r="R22" i="9"/>
  <c r="P22" i="9"/>
  <c r="R21" i="9"/>
  <c r="P21" i="9"/>
  <c r="F21" i="9"/>
  <c r="R20" i="9"/>
  <c r="P20" i="9"/>
  <c r="R19" i="9"/>
  <c r="P19" i="9"/>
  <c r="R18" i="9"/>
  <c r="P18" i="9"/>
  <c r="L11" i="32" s="1"/>
  <c r="R17" i="9"/>
  <c r="P17" i="9"/>
  <c r="F17" i="9"/>
  <c r="R16" i="9"/>
  <c r="P16" i="9"/>
  <c r="F16" i="9"/>
  <c r="R15" i="9"/>
  <c r="P15" i="9"/>
  <c r="R14" i="9"/>
  <c r="P14" i="9"/>
  <c r="R13" i="9"/>
  <c r="P13" i="9"/>
  <c r="R12" i="9"/>
  <c r="P12" i="9"/>
  <c r="R11" i="9"/>
  <c r="P11" i="9"/>
  <c r="E5" i="9"/>
  <c r="D5" i="9"/>
  <c r="R33" i="8"/>
  <c r="P33" i="8"/>
  <c r="R32" i="8"/>
  <c r="P32" i="8"/>
  <c r="R31" i="8"/>
  <c r="P31" i="8"/>
  <c r="R30" i="8"/>
  <c r="P30" i="8"/>
  <c r="R29" i="8"/>
  <c r="P29" i="8"/>
  <c r="R28" i="8"/>
  <c r="P28" i="8"/>
  <c r="R27" i="8"/>
  <c r="P27" i="8"/>
  <c r="R26" i="8"/>
  <c r="P26" i="8"/>
  <c r="R25" i="8"/>
  <c r="P25" i="8"/>
  <c r="R24" i="8"/>
  <c r="P24" i="8"/>
  <c r="R23" i="8"/>
  <c r="P23" i="8"/>
  <c r="R22" i="8"/>
  <c r="P22" i="8"/>
  <c r="R21" i="8"/>
  <c r="P21" i="8"/>
  <c r="F21" i="8"/>
  <c r="R20" i="8"/>
  <c r="P20" i="8"/>
  <c r="R19" i="8"/>
  <c r="P19" i="8"/>
  <c r="R18" i="8"/>
  <c r="P18" i="8"/>
  <c r="K11" i="32" s="1"/>
  <c r="R17" i="8"/>
  <c r="P17" i="8"/>
  <c r="F17" i="8"/>
  <c r="R16" i="8"/>
  <c r="P16" i="8"/>
  <c r="F16" i="8"/>
  <c r="R15" i="8"/>
  <c r="P15" i="8"/>
  <c r="R14" i="8"/>
  <c r="P14" i="8"/>
  <c r="R13" i="8"/>
  <c r="P13" i="8"/>
  <c r="R12" i="8"/>
  <c r="P12" i="8"/>
  <c r="R11" i="8"/>
  <c r="P11" i="8"/>
  <c r="E5" i="8"/>
  <c r="D5" i="8"/>
  <c r="R33" i="7"/>
  <c r="P33" i="7"/>
  <c r="J26" i="32" s="1"/>
  <c r="R32" i="7"/>
  <c r="P32" i="7"/>
  <c r="R31" i="7"/>
  <c r="P31" i="7"/>
  <c r="R30" i="7"/>
  <c r="P30" i="7"/>
  <c r="R29" i="7"/>
  <c r="P29" i="7"/>
  <c r="J22" i="32" s="1"/>
  <c r="R28" i="7"/>
  <c r="P28" i="7"/>
  <c r="R27" i="7"/>
  <c r="P27" i="7"/>
  <c r="R26" i="7"/>
  <c r="P26" i="7"/>
  <c r="R25" i="7"/>
  <c r="P25" i="7"/>
  <c r="R24" i="7"/>
  <c r="P24" i="7"/>
  <c r="R23" i="7"/>
  <c r="P23" i="7"/>
  <c r="R22" i="7"/>
  <c r="P22" i="7"/>
  <c r="R21" i="7"/>
  <c r="P21" i="7"/>
  <c r="J14" i="32" s="1"/>
  <c r="F21" i="7"/>
  <c r="R20" i="7"/>
  <c r="P20" i="7"/>
  <c r="R19" i="7"/>
  <c r="P19" i="7"/>
  <c r="R18" i="7"/>
  <c r="P18" i="7"/>
  <c r="J11" i="32" s="1"/>
  <c r="R17" i="7"/>
  <c r="P17" i="7"/>
  <c r="F17" i="7"/>
  <c r="R16" i="7"/>
  <c r="P16" i="7"/>
  <c r="F16" i="7"/>
  <c r="R15" i="7"/>
  <c r="P15" i="7"/>
  <c r="R14" i="7"/>
  <c r="P14" i="7"/>
  <c r="J7" i="32" s="1"/>
  <c r="R13" i="7"/>
  <c r="P13" i="7"/>
  <c r="R12" i="7"/>
  <c r="P12" i="7"/>
  <c r="R11" i="7"/>
  <c r="P11" i="7"/>
  <c r="E5" i="7"/>
  <c r="D5" i="7"/>
  <c r="R33" i="6"/>
  <c r="P33" i="6"/>
  <c r="R32" i="6"/>
  <c r="P32" i="6"/>
  <c r="R31" i="6"/>
  <c r="P31" i="6"/>
  <c r="R30" i="6"/>
  <c r="P30" i="6"/>
  <c r="R29" i="6"/>
  <c r="P29" i="6"/>
  <c r="R28" i="6"/>
  <c r="P28" i="6"/>
  <c r="R27" i="6"/>
  <c r="P27" i="6"/>
  <c r="R26" i="6"/>
  <c r="P26" i="6"/>
  <c r="R25" i="6"/>
  <c r="P25" i="6"/>
  <c r="R24" i="6"/>
  <c r="P24" i="6"/>
  <c r="R23" i="6"/>
  <c r="P23" i="6"/>
  <c r="R22" i="6"/>
  <c r="P22" i="6"/>
  <c r="R21" i="6"/>
  <c r="P21" i="6"/>
  <c r="F21" i="6"/>
  <c r="R20" i="6"/>
  <c r="P20" i="6"/>
  <c r="R19" i="6"/>
  <c r="P19" i="6"/>
  <c r="R18" i="6"/>
  <c r="P18" i="6"/>
  <c r="I11" i="32" s="1"/>
  <c r="R17" i="6"/>
  <c r="P17" i="6"/>
  <c r="F17" i="6"/>
  <c r="R16" i="6"/>
  <c r="P16" i="6"/>
  <c r="F16" i="6"/>
  <c r="R15" i="6"/>
  <c r="P15" i="6"/>
  <c r="R14" i="6"/>
  <c r="P14" i="6"/>
  <c r="R13" i="6"/>
  <c r="P13" i="6"/>
  <c r="R12" i="6"/>
  <c r="P12" i="6"/>
  <c r="R11" i="6"/>
  <c r="P11" i="6"/>
  <c r="E5" i="6"/>
  <c r="D5" i="6"/>
  <c r="R33" i="5"/>
  <c r="P33" i="5"/>
  <c r="R32" i="5"/>
  <c r="P32" i="5"/>
  <c r="R31" i="5"/>
  <c r="P31" i="5"/>
  <c r="R30" i="5"/>
  <c r="P30" i="5"/>
  <c r="R29" i="5"/>
  <c r="P29" i="5"/>
  <c r="R28" i="5"/>
  <c r="P28" i="5"/>
  <c r="R27" i="5"/>
  <c r="P27" i="5"/>
  <c r="R26" i="5"/>
  <c r="P26" i="5"/>
  <c r="R25" i="5"/>
  <c r="P25" i="5"/>
  <c r="R24" i="5"/>
  <c r="P24" i="5"/>
  <c r="R23" i="5"/>
  <c r="P23" i="5"/>
  <c r="H16" i="32" s="1"/>
  <c r="R22" i="5"/>
  <c r="P22" i="5"/>
  <c r="R21" i="5"/>
  <c r="P21" i="5"/>
  <c r="F21" i="5"/>
  <c r="R20" i="5"/>
  <c r="P20" i="5"/>
  <c r="R19" i="5"/>
  <c r="P19" i="5"/>
  <c r="R18" i="5"/>
  <c r="P18" i="5"/>
  <c r="H11" i="32" s="1"/>
  <c r="R17" i="5"/>
  <c r="P17" i="5"/>
  <c r="F17" i="5"/>
  <c r="R16" i="5"/>
  <c r="P16" i="5"/>
  <c r="F16" i="5"/>
  <c r="R15" i="5"/>
  <c r="P15" i="5"/>
  <c r="R14" i="5"/>
  <c r="P14" i="5"/>
  <c r="R13" i="5"/>
  <c r="P13" i="5"/>
  <c r="R12" i="5"/>
  <c r="P12" i="5"/>
  <c r="R11" i="5"/>
  <c r="P11" i="5"/>
  <c r="D6" i="5"/>
  <c r="D6" i="6" s="1"/>
  <c r="D6" i="7" s="1"/>
  <c r="D6" i="8" s="1"/>
  <c r="D6" i="9" s="1"/>
  <c r="D6" i="10" s="1"/>
  <c r="D6" i="11" s="1"/>
  <c r="D6" i="12" s="1"/>
  <c r="D6" i="13" s="1"/>
  <c r="D6" i="14" s="1"/>
  <c r="D6" i="15" s="1"/>
  <c r="D6" i="16" s="1"/>
  <c r="D6" i="17" s="1"/>
  <c r="D6" i="18" s="1"/>
  <c r="D6" i="19" s="1"/>
  <c r="D6" i="20" s="1"/>
  <c r="D6" i="21" s="1"/>
  <c r="D6" i="22" s="1"/>
  <c r="D6" i="23" s="1"/>
  <c r="D6" i="24" s="1"/>
  <c r="D6" i="25" s="1"/>
  <c r="D6" i="26" s="1"/>
  <c r="D6" i="27" s="1"/>
  <c r="D6" i="28" s="1"/>
  <c r="D6" i="29" s="1"/>
  <c r="D6" i="30" s="1"/>
  <c r="D6" i="31" s="1"/>
  <c r="E5" i="5"/>
  <c r="D5" i="5"/>
  <c r="R33" i="4"/>
  <c r="P33" i="4"/>
  <c r="R32" i="4"/>
  <c r="P32" i="4"/>
  <c r="R31" i="4"/>
  <c r="P31" i="4"/>
  <c r="R30" i="4"/>
  <c r="P30" i="4"/>
  <c r="R29" i="4"/>
  <c r="P29" i="4"/>
  <c r="R28" i="4"/>
  <c r="P28" i="4"/>
  <c r="R27" i="4"/>
  <c r="P27" i="4"/>
  <c r="R26" i="4"/>
  <c r="P26" i="4"/>
  <c r="R25" i="4"/>
  <c r="P25" i="4"/>
  <c r="R24" i="4"/>
  <c r="P24" i="4"/>
  <c r="R23" i="4"/>
  <c r="P23" i="4"/>
  <c r="R22" i="4"/>
  <c r="P22" i="4"/>
  <c r="R21" i="4"/>
  <c r="P21" i="4"/>
  <c r="F21" i="4"/>
  <c r="R20" i="4"/>
  <c r="Q20" i="4"/>
  <c r="P20" i="4"/>
  <c r="G13" i="32" s="1"/>
  <c r="R19" i="4"/>
  <c r="P19" i="4"/>
  <c r="R18" i="4"/>
  <c r="P18" i="4"/>
  <c r="R17" i="4"/>
  <c r="P17" i="4"/>
  <c r="G10" i="32" s="1"/>
  <c r="F17" i="4"/>
  <c r="R16" i="4"/>
  <c r="Q16" i="4"/>
  <c r="P16" i="4"/>
  <c r="G9" i="32" s="1"/>
  <c r="F16" i="4"/>
  <c r="R15" i="4"/>
  <c r="P15" i="4"/>
  <c r="R14" i="4"/>
  <c r="P14" i="4"/>
  <c r="R13" i="4"/>
  <c r="P13" i="4"/>
  <c r="R12" i="4"/>
  <c r="P12" i="4"/>
  <c r="R11" i="4"/>
  <c r="P11" i="4"/>
  <c r="D6" i="4"/>
  <c r="M14" i="32" l="1"/>
  <c r="I13" i="32"/>
  <c r="J25" i="32"/>
  <c r="O25" i="32"/>
  <c r="I19" i="32"/>
  <c r="I25" i="32"/>
  <c r="P25" i="32"/>
  <c r="M5" i="32"/>
  <c r="H19" i="32"/>
  <c r="H25" i="32"/>
  <c r="Q13" i="4"/>
  <c r="G6" i="32"/>
  <c r="Q17" i="4"/>
  <c r="Q22" i="4"/>
  <c r="G15" i="32"/>
  <c r="Q28" i="4"/>
  <c r="G21" i="32"/>
  <c r="J5" i="32"/>
  <c r="M11" i="32"/>
  <c r="P20" i="32"/>
  <c r="Q16" i="5"/>
  <c r="H9" i="32"/>
  <c r="I15" i="32"/>
  <c r="I21" i="32"/>
  <c r="P5" i="32"/>
  <c r="I10" i="32"/>
  <c r="O22" i="32"/>
  <c r="Q14" i="4"/>
  <c r="G7" i="32"/>
  <c r="Q29" i="4"/>
  <c r="G22" i="32"/>
  <c r="I5" i="32"/>
  <c r="J23" i="32"/>
  <c r="N13" i="32"/>
  <c r="N18" i="32"/>
  <c r="Q18" i="4"/>
  <c r="Q18" i="5" s="1"/>
  <c r="Q18" i="6" s="1"/>
  <c r="Q18" i="7" s="1"/>
  <c r="Q18" i="8" s="1"/>
  <c r="Q18" i="9" s="1"/>
  <c r="Q18" i="10" s="1"/>
  <c r="Q18" i="11" s="1"/>
  <c r="Q18" i="12" s="1"/>
  <c r="Q18" i="13" s="1"/>
  <c r="Q18" i="14" s="1"/>
  <c r="Q18" i="15" s="1"/>
  <c r="Q18" i="16" s="1"/>
  <c r="Q18" i="17" s="1"/>
  <c r="G11" i="32"/>
  <c r="Q23" i="4"/>
  <c r="Q23" i="5" s="1"/>
  <c r="G16" i="32"/>
  <c r="Q28" i="5"/>
  <c r="Q28" i="6" s="1"/>
  <c r="Q28" i="7" s="1"/>
  <c r="H21" i="32"/>
  <c r="L13" i="32"/>
  <c r="L18" i="32"/>
  <c r="Q15" i="4"/>
  <c r="G8" i="32"/>
  <c r="Q19" i="4"/>
  <c r="G12" i="32"/>
  <c r="Q24" i="4"/>
  <c r="G17" i="32"/>
  <c r="Q30" i="4"/>
  <c r="G23" i="32"/>
  <c r="J8" i="32"/>
  <c r="J13" i="32"/>
  <c r="J18" i="32"/>
  <c r="K13" i="32"/>
  <c r="M25" i="32"/>
  <c r="S11" i="32"/>
  <c r="S26" i="32"/>
  <c r="U7" i="32"/>
  <c r="U22" i="32"/>
  <c r="Q25" i="4"/>
  <c r="G18" i="32"/>
  <c r="Q31" i="4"/>
  <c r="Q31" i="5" s="1"/>
  <c r="Q31" i="6" s="1"/>
  <c r="G24" i="32"/>
  <c r="Q29" i="5"/>
  <c r="Q29" i="6" s="1"/>
  <c r="Q29" i="7" s="1"/>
  <c r="Q29" i="8" s="1"/>
  <c r="H22" i="32"/>
  <c r="I6" i="32"/>
  <c r="Q23" i="6"/>
  <c r="I16" i="32"/>
  <c r="I22" i="32"/>
  <c r="J6" i="32"/>
  <c r="J15" i="32"/>
  <c r="K9" i="32"/>
  <c r="L9" i="32"/>
  <c r="L19" i="32"/>
  <c r="M21" i="32"/>
  <c r="N9" i="32"/>
  <c r="N19" i="32"/>
  <c r="P12" i="32"/>
  <c r="P17" i="32"/>
  <c r="Q26" i="32"/>
  <c r="R4" i="32"/>
  <c r="R9" i="32"/>
  <c r="R19" i="32"/>
  <c r="S16" i="32"/>
  <c r="T6" i="32"/>
  <c r="T10" i="32"/>
  <c r="T15" i="32"/>
  <c r="U8" i="32"/>
  <c r="U23" i="32"/>
  <c r="W6" i="32"/>
  <c r="W21" i="32"/>
  <c r="X25" i="32"/>
  <c r="Y12" i="32"/>
  <c r="Z19" i="32"/>
  <c r="AA7" i="32"/>
  <c r="AA17" i="32"/>
  <c r="AA23" i="32"/>
  <c r="AB11" i="32"/>
  <c r="AC19" i="32"/>
  <c r="AC25" i="32"/>
  <c r="AD23" i="32"/>
  <c r="AE11" i="32"/>
  <c r="AE16" i="32"/>
  <c r="AE22" i="32"/>
  <c r="AG17" i="32"/>
  <c r="Q14" i="5"/>
  <c r="H7" i="32"/>
  <c r="J21" i="32"/>
  <c r="K4" i="32"/>
  <c r="K14" i="32"/>
  <c r="K20" i="32"/>
  <c r="K26" i="32"/>
  <c r="L4" i="32"/>
  <c r="L14" i="32"/>
  <c r="M12" i="32"/>
  <c r="N4" i="32"/>
  <c r="N14" i="32"/>
  <c r="N25" i="32"/>
  <c r="O23" i="32"/>
  <c r="P8" i="32"/>
  <c r="P23" i="32"/>
  <c r="Q6" i="32"/>
  <c r="Q21" i="32"/>
  <c r="R14" i="32"/>
  <c r="S22" i="32"/>
  <c r="T25" i="32"/>
  <c r="U13" i="32"/>
  <c r="U18" i="32"/>
  <c r="V7" i="32"/>
  <c r="V17" i="32"/>
  <c r="V23" i="32"/>
  <c r="X15" i="32"/>
  <c r="Y8" i="32"/>
  <c r="Z10" i="32"/>
  <c r="AA12" i="32"/>
  <c r="AB21" i="32"/>
  <c r="AC9" i="32"/>
  <c r="AG7" i="32"/>
  <c r="AG12" i="32"/>
  <c r="R18" i="32"/>
  <c r="Q30" i="5"/>
  <c r="H23" i="32"/>
  <c r="Q23" i="7"/>
  <c r="J16" i="32"/>
  <c r="L25" i="32"/>
  <c r="M8" i="32"/>
  <c r="M17" i="32"/>
  <c r="O10" i="32"/>
  <c r="O19" i="32"/>
  <c r="P13" i="32"/>
  <c r="P18" i="32"/>
  <c r="R25" i="32"/>
  <c r="S17" i="32"/>
  <c r="T11" i="32"/>
  <c r="V12" i="32"/>
  <c r="W7" i="32"/>
  <c r="W22" i="32"/>
  <c r="X10" i="32"/>
  <c r="X26" i="32"/>
  <c r="Y4" i="32"/>
  <c r="Y13" i="32"/>
  <c r="Z6" i="32"/>
  <c r="Z15" i="32"/>
  <c r="AA8" i="32"/>
  <c r="AA18" i="32"/>
  <c r="AA24" i="32"/>
  <c r="AB12" i="32"/>
  <c r="AC4" i="32"/>
  <c r="AC14" i="32"/>
  <c r="AC20" i="32"/>
  <c r="AC26" i="32"/>
  <c r="AD4" i="32"/>
  <c r="AD9" i="32"/>
  <c r="AD24" i="32"/>
  <c r="AE12" i="32"/>
  <c r="AE23" i="32"/>
  <c r="AG18" i="32"/>
  <c r="Q11" i="4"/>
  <c r="G4" i="32"/>
  <c r="Q26" i="4"/>
  <c r="Q26" i="5" s="1"/>
  <c r="Q26" i="6" s="1"/>
  <c r="G19" i="32"/>
  <c r="Q32" i="4"/>
  <c r="Q32" i="5" s="1"/>
  <c r="Q32" i="6" s="1"/>
  <c r="Q32" i="7" s="1"/>
  <c r="G25" i="32"/>
  <c r="Q19" i="5"/>
  <c r="H12" i="32"/>
  <c r="Q24" i="5"/>
  <c r="H17" i="32"/>
  <c r="Q14" i="6"/>
  <c r="I7" i="32"/>
  <c r="Q24" i="6"/>
  <c r="I17" i="32"/>
  <c r="Q30" i="6"/>
  <c r="Q30" i="7" s="1"/>
  <c r="I23" i="32"/>
  <c r="Q15" i="5"/>
  <c r="H8" i="32"/>
  <c r="Q19" i="6"/>
  <c r="I12" i="32"/>
  <c r="Q14" i="7"/>
  <c r="Q14" i="8" s="1"/>
  <c r="Q14" i="9" s="1"/>
  <c r="Q14" i="10" s="1"/>
  <c r="Q14" i="11" s="1"/>
  <c r="K5" i="32"/>
  <c r="K15" i="32"/>
  <c r="Q28" i="8"/>
  <c r="Q28" i="9" s="1"/>
  <c r="Q28" i="10" s="1"/>
  <c r="Q28" i="11" s="1"/>
  <c r="Q28" i="12" s="1"/>
  <c r="K21" i="32"/>
  <c r="L10" i="32"/>
  <c r="M13" i="32"/>
  <c r="N5" i="32"/>
  <c r="N10" i="32"/>
  <c r="N15" i="32"/>
  <c r="N26" i="32"/>
  <c r="O15" i="32"/>
  <c r="Q7" i="32"/>
  <c r="Q22" i="32"/>
  <c r="R10" i="32"/>
  <c r="R15" i="32"/>
  <c r="T21" i="32"/>
  <c r="T26" i="32"/>
  <c r="U4" i="32"/>
  <c r="U9" i="32"/>
  <c r="U19" i="32"/>
  <c r="V8" i="32"/>
  <c r="V18" i="32"/>
  <c r="V24" i="32"/>
  <c r="W12" i="32"/>
  <c r="W17" i="32"/>
  <c r="X21" i="32"/>
  <c r="Z25" i="32"/>
  <c r="AA13" i="32"/>
  <c r="AB17" i="32"/>
  <c r="AG8" i="32"/>
  <c r="AG13" i="32"/>
  <c r="K10" i="32"/>
  <c r="L5" i="32"/>
  <c r="L15" i="32"/>
  <c r="Q12" i="4"/>
  <c r="G5" i="32"/>
  <c r="Q21" i="4"/>
  <c r="Q21" i="5" s="1"/>
  <c r="Q21" i="6" s="1"/>
  <c r="Q21" i="7" s="1"/>
  <c r="Q21" i="8" s="1"/>
  <c r="Q21" i="9" s="1"/>
  <c r="Q21" i="10" s="1"/>
  <c r="Q21" i="11" s="1"/>
  <c r="G14" i="32"/>
  <c r="Q27" i="4"/>
  <c r="G20" i="32"/>
  <c r="Q33" i="4"/>
  <c r="G26" i="32"/>
  <c r="Q20" i="5"/>
  <c r="Q20" i="6" s="1"/>
  <c r="Q20" i="7" s="1"/>
  <c r="Q20" i="8" s="1"/>
  <c r="Q20" i="9" s="1"/>
  <c r="Q20" i="10" s="1"/>
  <c r="Q20" i="11" s="1"/>
  <c r="H13" i="32"/>
  <c r="Q25" i="5"/>
  <c r="H18" i="32"/>
  <c r="H24" i="32"/>
  <c r="Q15" i="6"/>
  <c r="Q15" i="7" s="1"/>
  <c r="I8" i="32"/>
  <c r="Q25" i="6"/>
  <c r="Q25" i="7" s="1"/>
  <c r="I18" i="32"/>
  <c r="I24" i="32"/>
  <c r="Q19" i="7"/>
  <c r="J12" i="32"/>
  <c r="Q24" i="7"/>
  <c r="J17" i="32"/>
  <c r="L26" i="32"/>
  <c r="M4" i="32"/>
  <c r="P4" i="32"/>
  <c r="P9" i="32"/>
  <c r="P19" i="32"/>
  <c r="Q12" i="32"/>
  <c r="Q17" i="32"/>
  <c r="R26" i="32"/>
  <c r="S18" i="32"/>
  <c r="T12" i="32"/>
  <c r="U14" i="32"/>
  <c r="V13" i="32"/>
  <c r="W8" i="32"/>
  <c r="W23" i="32"/>
  <c r="X6" i="32"/>
  <c r="X11" i="32"/>
  <c r="Y9" i="32"/>
  <c r="AA19" i="32"/>
  <c r="AA25" i="32"/>
  <c r="AB8" i="32"/>
  <c r="AB13" i="32"/>
  <c r="AC5" i="32"/>
  <c r="AC10" i="32"/>
  <c r="AC15" i="32"/>
  <c r="AC21" i="32"/>
  <c r="AD5" i="32"/>
  <c r="AD19" i="32"/>
  <c r="AD25" i="32"/>
  <c r="AE18" i="32"/>
  <c r="AF24" i="32"/>
  <c r="K6" i="32"/>
  <c r="Q23" i="8"/>
  <c r="Q23" i="9" s="1"/>
  <c r="Q23" i="10" s="1"/>
  <c r="Q23" i="11" s="1"/>
  <c r="K16" i="32"/>
  <c r="K22" i="32"/>
  <c r="L6" i="32"/>
  <c r="L21" i="32"/>
  <c r="M9" i="32"/>
  <c r="M23" i="32"/>
  <c r="N6" i="32"/>
  <c r="N21" i="32"/>
  <c r="P14" i="32"/>
  <c r="Q8" i="32"/>
  <c r="Q23" i="32"/>
  <c r="R6" i="32"/>
  <c r="R21" i="32"/>
  <c r="S9" i="32"/>
  <c r="T17" i="32"/>
  <c r="U25" i="32"/>
  <c r="V19" i="32"/>
  <c r="V25" i="32"/>
  <c r="W13" i="32"/>
  <c r="W18" i="32"/>
  <c r="X22" i="32"/>
  <c r="Z21" i="32"/>
  <c r="AA9" i="32"/>
  <c r="AD10" i="32"/>
  <c r="Q13" i="32"/>
  <c r="Q18" i="32"/>
  <c r="S24" i="32"/>
  <c r="T13" i="32"/>
  <c r="U10" i="32"/>
  <c r="U15" i="32"/>
  <c r="V9" i="32"/>
  <c r="X7" i="32"/>
  <c r="X12" i="32"/>
  <c r="X17" i="32"/>
  <c r="Y23" i="32"/>
  <c r="Z12" i="32"/>
  <c r="AA4" i="32"/>
  <c r="AA14" i="32"/>
  <c r="AA20" i="32"/>
  <c r="AA26" i="32"/>
  <c r="AB4" i="32"/>
  <c r="AB23" i="32"/>
  <c r="AC6" i="32"/>
  <c r="AC16" i="32"/>
  <c r="AC22" i="32"/>
  <c r="AD6" i="32"/>
  <c r="AD20" i="32"/>
  <c r="AE19" i="32"/>
  <c r="AF19" i="32"/>
  <c r="AF25" i="32"/>
  <c r="Q11" i="5"/>
  <c r="Q11" i="6" s="1"/>
  <c r="Q11" i="7" s="1"/>
  <c r="Q11" i="8" s="1"/>
  <c r="Q11" i="9" s="1"/>
  <c r="Q11" i="10" s="1"/>
  <c r="Q11" i="11" s="1"/>
  <c r="H4" i="32"/>
  <c r="H14" i="32"/>
  <c r="Q16" i="6"/>
  <c r="I9" i="32"/>
  <c r="K7" i="32"/>
  <c r="Q24" i="8"/>
  <c r="K17" i="32"/>
  <c r="Q30" i="8"/>
  <c r="K23" i="32"/>
  <c r="L7" i="32"/>
  <c r="Q29" i="9"/>
  <c r="Q29" i="10" s="1"/>
  <c r="Q29" i="11" s="1"/>
  <c r="Q29" i="12" s="1"/>
  <c r="L22" i="32"/>
  <c r="M19" i="32"/>
  <c r="N7" i="32"/>
  <c r="N22" i="32"/>
  <c r="O12" i="32"/>
  <c r="P10" i="32"/>
  <c r="P15" i="32"/>
  <c r="R7" i="32"/>
  <c r="R22" i="32"/>
  <c r="S5" i="32"/>
  <c r="S14" i="32"/>
  <c r="U26" i="32"/>
  <c r="V4" i="32"/>
  <c r="V14" i="32"/>
  <c r="V20" i="32"/>
  <c r="V26" i="32"/>
  <c r="W4" i="32"/>
  <c r="W9" i="32"/>
  <c r="W19" i="32"/>
  <c r="X23" i="32"/>
  <c r="Y10" i="32"/>
  <c r="Y19" i="32"/>
  <c r="Z8" i="32"/>
  <c r="Z17" i="32"/>
  <c r="AB9" i="32"/>
  <c r="AD15" i="32"/>
  <c r="AF9" i="32"/>
  <c r="Q27" i="5"/>
  <c r="Q27" i="6" s="1"/>
  <c r="H20" i="32"/>
  <c r="Q33" i="5"/>
  <c r="Q33" i="6" s="1"/>
  <c r="Q33" i="7" s="1"/>
  <c r="Q33" i="8" s="1"/>
  <c r="Q33" i="9" s="1"/>
  <c r="Q33" i="10" s="1"/>
  <c r="Q33" i="11" s="1"/>
  <c r="H26" i="32"/>
  <c r="I4" i="32"/>
  <c r="I14" i="32"/>
  <c r="I20" i="32"/>
  <c r="I26" i="32"/>
  <c r="J4" i="32"/>
  <c r="Q16" i="7"/>
  <c r="Q16" i="8" s="1"/>
  <c r="Q16" i="9" s="1"/>
  <c r="Q16" i="10" s="1"/>
  <c r="Q16" i="11" s="1"/>
  <c r="J9" i="32"/>
  <c r="Q31" i="7"/>
  <c r="Q31" i="8" s="1"/>
  <c r="Q31" i="9" s="1"/>
  <c r="Q31" i="10" s="1"/>
  <c r="Q31" i="11" s="1"/>
  <c r="Q31" i="12" s="1"/>
  <c r="Q31" i="13" s="1"/>
  <c r="Q31" i="14" s="1"/>
  <c r="Q31" i="15" s="1"/>
  <c r="Q31" i="16" s="1"/>
  <c r="Q31" i="17" s="1"/>
  <c r="Q31" i="18" s="1"/>
  <c r="Q31" i="19" s="1"/>
  <c r="Q31" i="20" s="1"/>
  <c r="Q31" i="21" s="1"/>
  <c r="Q31" i="22" s="1"/>
  <c r="Q31" i="23" s="1"/>
  <c r="Q31" i="24" s="1"/>
  <c r="Q31" i="25" s="1"/>
  <c r="Q31" i="26" s="1"/>
  <c r="Q31" i="27" s="1"/>
  <c r="Q31" i="28" s="1"/>
  <c r="Q31" i="29" s="1"/>
  <c r="Q31" i="30" s="1"/>
  <c r="Q31" i="31" s="1"/>
  <c r="J24" i="32"/>
  <c r="Q19" i="8"/>
  <c r="K12" i="32"/>
  <c r="Q19" i="9"/>
  <c r="Q19" i="10" s="1"/>
  <c r="Q19" i="11" s="1"/>
  <c r="Q19" i="12" s="1"/>
  <c r="Q19" i="13" s="1"/>
  <c r="Q19" i="14" s="1"/>
  <c r="Q19" i="15" s="1"/>
  <c r="Q19" i="16" s="1"/>
  <c r="Q19" i="17" s="1"/>
  <c r="L12" i="32"/>
  <c r="Q24" i="9"/>
  <c r="Q24" i="10" s="1"/>
  <c r="Q24" i="11" s="1"/>
  <c r="L17" i="32"/>
  <c r="M10" i="32"/>
  <c r="N12" i="32"/>
  <c r="N17" i="32"/>
  <c r="O8" i="32"/>
  <c r="P26" i="32"/>
  <c r="Q4" i="32"/>
  <c r="Q9" i="32"/>
  <c r="Q19" i="32"/>
  <c r="R12" i="32"/>
  <c r="R17" i="32"/>
  <c r="S10" i="32"/>
  <c r="S25" i="32"/>
  <c r="T23" i="32"/>
  <c r="U6" i="32"/>
  <c r="U21" i="32"/>
  <c r="W14" i="32"/>
  <c r="X8" i="32"/>
  <c r="X13" i="32"/>
  <c r="X18" i="32"/>
  <c r="Y15" i="32"/>
  <c r="Y24" i="32"/>
  <c r="Z13" i="32"/>
  <c r="AA5" i="32"/>
  <c r="AA10" i="32"/>
  <c r="AA15" i="32"/>
  <c r="AA21" i="32"/>
  <c r="AB19" i="32"/>
  <c r="AC7" i="32"/>
  <c r="AC17" i="32"/>
  <c r="AC23" i="32"/>
  <c r="AD21" i="32"/>
  <c r="AE14" i="32"/>
  <c r="AF4" i="32"/>
  <c r="Q12" i="5"/>
  <c r="Q12" i="6" s="1"/>
  <c r="Q12" i="7" s="1"/>
  <c r="Q12" i="8" s="1"/>
  <c r="Q12" i="9" s="1"/>
  <c r="Q12" i="10" s="1"/>
  <c r="Q12" i="11" s="1"/>
  <c r="H5" i="32"/>
  <c r="Q17" i="5"/>
  <c r="Q17" i="6" s="1"/>
  <c r="H10" i="32"/>
  <c r="Q22" i="5"/>
  <c r="Q22" i="6" s="1"/>
  <c r="Q22" i="7" s="1"/>
  <c r="Q22" i="8" s="1"/>
  <c r="Q22" i="9" s="1"/>
  <c r="H15" i="32"/>
  <c r="Q26" i="7"/>
  <c r="J19" i="32"/>
  <c r="Q15" i="8"/>
  <c r="Q15" i="9" s="1"/>
  <c r="Q15" i="10" s="1"/>
  <c r="Q15" i="11" s="1"/>
  <c r="K8" i="32"/>
  <c r="Q25" i="8"/>
  <c r="Q25" i="9" s="1"/>
  <c r="Q25" i="10" s="1"/>
  <c r="Q25" i="11" s="1"/>
  <c r="K18" i="32"/>
  <c r="K24" i="32"/>
  <c r="L8" i="32"/>
  <c r="Q30" i="9"/>
  <c r="Q30" i="10" s="1"/>
  <c r="Q30" i="11" s="1"/>
  <c r="L23" i="32"/>
  <c r="M6" i="32"/>
  <c r="Q22" i="10"/>
  <c r="Q22" i="11" s="1"/>
  <c r="M15" i="32"/>
  <c r="N8" i="32"/>
  <c r="N23" i="32"/>
  <c r="O4" i="32"/>
  <c r="O13" i="32"/>
  <c r="P6" i="32"/>
  <c r="Q28" i="13"/>
  <c r="Q28" i="14" s="1"/>
  <c r="Q28" i="15" s="1"/>
  <c r="P21" i="32"/>
  <c r="Q14" i="32"/>
  <c r="R8" i="32"/>
  <c r="R23" i="32"/>
  <c r="S6" i="32"/>
  <c r="S20" i="32"/>
  <c r="T9" i="32"/>
  <c r="Q18" i="18"/>
  <c r="Q18" i="19" s="1"/>
  <c r="Q18" i="20" s="1"/>
  <c r="Q18" i="21" s="1"/>
  <c r="Q18" i="22" s="1"/>
  <c r="Q18" i="23" s="1"/>
  <c r="V5" i="32"/>
  <c r="V10" i="32"/>
  <c r="V15" i="32"/>
  <c r="V21" i="32"/>
  <c r="W25" i="32"/>
  <c r="Z4" i="32"/>
  <c r="AC12" i="32"/>
  <c r="AD16" i="32"/>
  <c r="W10" i="32"/>
  <c r="W15" i="32"/>
  <c r="X19" i="32"/>
  <c r="Z9" i="32"/>
  <c r="Z23" i="32"/>
  <c r="AA6" i="32"/>
  <c r="AA16" i="32"/>
  <c r="AA22" i="32"/>
  <c r="AB10" i="32"/>
  <c r="AB15" i="32"/>
  <c r="AC8" i="32"/>
  <c r="AC18" i="32"/>
  <c r="AC24" i="32"/>
  <c r="AE15" i="32"/>
  <c r="AE21" i="32"/>
  <c r="AF5" i="32"/>
  <c r="Q25" i="32"/>
  <c r="R13" i="32"/>
  <c r="T19" i="32"/>
  <c r="Q13" i="5"/>
  <c r="Q13" i="6" s="1"/>
  <c r="Q13" i="7" s="1"/>
  <c r="Q13" i="8" s="1"/>
  <c r="Q13" i="9" s="1"/>
  <c r="Q13" i="10" s="1"/>
  <c r="Q13" i="11" s="1"/>
  <c r="H6" i="32"/>
  <c r="Q17" i="7"/>
  <c r="Q17" i="8" s="1"/>
  <c r="Q17" i="9" s="1"/>
  <c r="Q17" i="10" s="1"/>
  <c r="Q17" i="11" s="1"/>
  <c r="J10" i="32"/>
  <c r="Q27" i="7"/>
  <c r="Q27" i="8" s="1"/>
  <c r="Q27" i="9" s="1"/>
  <c r="Q27" i="10" s="1"/>
  <c r="Q27" i="11" s="1"/>
  <c r="J20" i="32"/>
  <c r="Q26" i="8"/>
  <c r="Q26" i="9" s="1"/>
  <c r="Q26" i="10" s="1"/>
  <c r="Q26" i="11" s="1"/>
  <c r="K19" i="32"/>
  <c r="Q32" i="8"/>
  <c r="Q32" i="9" s="1"/>
  <c r="Q32" i="10" s="1"/>
  <c r="Q32" i="11" s="1"/>
  <c r="K25" i="32"/>
  <c r="N24" i="32"/>
  <c r="Q16" i="12"/>
  <c r="Q16" i="13" s="1"/>
  <c r="Q16" i="14" s="1"/>
  <c r="Q16" i="15" s="1"/>
  <c r="Q16" i="16" s="1"/>
  <c r="Q16" i="17" s="1"/>
  <c r="Q16" i="18" s="1"/>
  <c r="Q16" i="19" s="1"/>
  <c r="Q16" i="20" s="1"/>
  <c r="Q16" i="21" s="1"/>
  <c r="Q16" i="22" s="1"/>
  <c r="Q16" i="23" s="1"/>
  <c r="Q16" i="24" s="1"/>
  <c r="Q16" i="25" s="1"/>
  <c r="Q16" i="26" s="1"/>
  <c r="Q16" i="27" s="1"/>
  <c r="Q16" i="28" s="1"/>
  <c r="Q16" i="29" s="1"/>
  <c r="Q16" i="30" s="1"/>
  <c r="Q16" i="31" s="1"/>
  <c r="O9" i="32"/>
  <c r="P7" i="32"/>
  <c r="Q29" i="13"/>
  <c r="Q29" i="14" s="1"/>
  <c r="Q29" i="15" s="1"/>
  <c r="Q29" i="16" s="1"/>
  <c r="Q29" i="17" s="1"/>
  <c r="Q29" i="18" s="1"/>
  <c r="Q29" i="19" s="1"/>
  <c r="Q29" i="20" s="1"/>
  <c r="Q29" i="21" s="1"/>
  <c r="Q29" i="22" s="1"/>
  <c r="Q29" i="23" s="1"/>
  <c r="Q29" i="24" s="1"/>
  <c r="Q29" i="25" s="1"/>
  <c r="Q29" i="26" s="1"/>
  <c r="Q29" i="27" s="1"/>
  <c r="Q29" i="28" s="1"/>
  <c r="Q29" i="29" s="1"/>
  <c r="Q29" i="30" s="1"/>
  <c r="Q29" i="31" s="1"/>
  <c r="P22" i="32"/>
  <c r="Q10" i="32"/>
  <c r="Q15" i="32"/>
  <c r="S7" i="32"/>
  <c r="Q28" i="16"/>
  <c r="Q28" i="17" s="1"/>
  <c r="Q28" i="18" s="1"/>
  <c r="Q28" i="19" s="1"/>
  <c r="Q28" i="20" s="1"/>
  <c r="Q28" i="21" s="1"/>
  <c r="Q28" i="22" s="1"/>
  <c r="Q28" i="23" s="1"/>
  <c r="Q28" i="24" s="1"/>
  <c r="Q28" i="25" s="1"/>
  <c r="Q28" i="26" s="1"/>
  <c r="Q28" i="27" s="1"/>
  <c r="Q28" i="28" s="1"/>
  <c r="Q28" i="29" s="1"/>
  <c r="Q28" i="30" s="1"/>
  <c r="Q28" i="31" s="1"/>
  <c r="S21" i="32"/>
  <c r="Q19" i="18"/>
  <c r="Q19" i="19" s="1"/>
  <c r="Q19" i="20" s="1"/>
  <c r="Q19" i="21" s="1"/>
  <c r="Q19" i="22" s="1"/>
  <c r="Q19" i="23" s="1"/>
  <c r="Q19" i="24" s="1"/>
  <c r="Q19" i="25" s="1"/>
  <c r="Q19" i="26" s="1"/>
  <c r="U12" i="32"/>
  <c r="U17" i="32"/>
  <c r="V6" i="32"/>
  <c r="V16" i="32"/>
  <c r="V22" i="32"/>
  <c r="W26" i="32"/>
  <c r="X4" i="32"/>
  <c r="X9" i="32"/>
  <c r="X14" i="32"/>
  <c r="Q18" i="24"/>
  <c r="Q18" i="25" s="1"/>
  <c r="Q18" i="26" s="1"/>
  <c r="Q18" i="27" s="1"/>
  <c r="Q18" i="28" s="1"/>
  <c r="Q18" i="29" s="1"/>
  <c r="Q18" i="30" s="1"/>
  <c r="Q18" i="31" s="1"/>
  <c r="AB6" i="32"/>
  <c r="AB25" i="32"/>
  <c r="AE6" i="32"/>
  <c r="AH15" i="32"/>
  <c r="AH7" i="32"/>
  <c r="AH16" i="32"/>
  <c r="AG20" i="32"/>
  <c r="AG22" i="32"/>
  <c r="AH10" i="32"/>
  <c r="AH21" i="32"/>
  <c r="AE17" i="32"/>
  <c r="AF11" i="32"/>
  <c r="AH18" i="32"/>
  <c r="AF6" i="32"/>
  <c r="AH11" i="32"/>
  <c r="AG14" i="32"/>
  <c r="AH14" i="32"/>
  <c r="AH19" i="32"/>
  <c r="AH6" i="32"/>
  <c r="AG9" i="32"/>
  <c r="AF12" i="32"/>
  <c r="Q19" i="27"/>
  <c r="Q19" i="28" s="1"/>
  <c r="Q19" i="29" s="1"/>
  <c r="Q19" i="30" s="1"/>
  <c r="Q19" i="31" s="1"/>
  <c r="AH25" i="32"/>
  <c r="AE4" i="32"/>
  <c r="AH9" i="32"/>
  <c r="AF15" i="32"/>
  <c r="AE24" i="32"/>
  <c r="AE25" i="32"/>
  <c r="AG26" i="32"/>
  <c r="AE20" i="32"/>
  <c r="AH12" i="32"/>
  <c r="AG15" i="32"/>
  <c r="AF23" i="32"/>
  <c r="Q17" i="12" l="1"/>
  <c r="Q17" i="13" s="1"/>
  <c r="Q17" i="14" s="1"/>
  <c r="Q17" i="15" s="1"/>
  <c r="Q17" i="16" s="1"/>
  <c r="Q17" i="17" s="1"/>
  <c r="Q17" i="18" s="1"/>
  <c r="Q17" i="19" s="1"/>
  <c r="Q17" i="20" s="1"/>
  <c r="Q17" i="21" s="1"/>
  <c r="Q17" i="22" s="1"/>
  <c r="Q17" i="23" s="1"/>
  <c r="Q17" i="24" s="1"/>
  <c r="Q17" i="25" s="1"/>
  <c r="Q17" i="26" s="1"/>
  <c r="Q17" i="27" s="1"/>
  <c r="Q17" i="28" s="1"/>
  <c r="Q17" i="29" s="1"/>
  <c r="Q17" i="30" s="1"/>
  <c r="Q17" i="31" s="1"/>
  <c r="Q15" i="12"/>
  <c r="Q15" i="13" s="1"/>
  <c r="Q15" i="14" s="1"/>
  <c r="Q15" i="15" s="1"/>
  <c r="Q15" i="16" s="1"/>
  <c r="Q15" i="17" s="1"/>
  <c r="Q15" i="18" s="1"/>
  <c r="Q15" i="19" s="1"/>
  <c r="Q15" i="20" s="1"/>
  <c r="Q15" i="21" s="1"/>
  <c r="Q15" i="22" s="1"/>
  <c r="Q15" i="23" s="1"/>
  <c r="Q15" i="24" s="1"/>
  <c r="Q15" i="25" s="1"/>
  <c r="Q15" i="26" s="1"/>
  <c r="Q15" i="27" s="1"/>
  <c r="Q15" i="28" s="1"/>
  <c r="Q15" i="29" s="1"/>
  <c r="Q15" i="30" s="1"/>
  <c r="Q15" i="31" s="1"/>
  <c r="Q30" i="12"/>
  <c r="Q30" i="13" s="1"/>
  <c r="Q30" i="14" s="1"/>
  <c r="Q30" i="15" s="1"/>
  <c r="Q30" i="16" s="1"/>
  <c r="Q30" i="17" s="1"/>
  <c r="Q30" i="18" s="1"/>
  <c r="Q30" i="19" s="1"/>
  <c r="Q30" i="20" s="1"/>
  <c r="Q30" i="21" s="1"/>
  <c r="Q30" i="22" s="1"/>
  <c r="Q30" i="23" s="1"/>
  <c r="Q30" i="24" s="1"/>
  <c r="Q30" i="25" s="1"/>
  <c r="Q30" i="26" s="1"/>
  <c r="Q30" i="27" s="1"/>
  <c r="Q30" i="28" s="1"/>
  <c r="Q30" i="29" s="1"/>
  <c r="Q30" i="30" s="1"/>
  <c r="Q30" i="31" s="1"/>
  <c r="Q13" i="12"/>
  <c r="Q13" i="13" s="1"/>
  <c r="Q13" i="14" s="1"/>
  <c r="Q13" i="15" s="1"/>
  <c r="Q13" i="16" s="1"/>
  <c r="Q13" i="17" s="1"/>
  <c r="Q13" i="18" s="1"/>
  <c r="Q13" i="19" s="1"/>
  <c r="Q13" i="20" s="1"/>
  <c r="Q13" i="21" s="1"/>
  <c r="Q13" i="22" s="1"/>
  <c r="Q13" i="23" s="1"/>
  <c r="Q13" i="24" s="1"/>
  <c r="Q13" i="25" s="1"/>
  <c r="Q13" i="26" s="1"/>
  <c r="Q13" i="27" s="1"/>
  <c r="Q13" i="28" s="1"/>
  <c r="Q13" i="29" s="1"/>
  <c r="Q13" i="30" s="1"/>
  <c r="Q13" i="31" s="1"/>
  <c r="Q11" i="12"/>
  <c r="Q11" i="13" s="1"/>
  <c r="Q11" i="14" s="1"/>
  <c r="Q11" i="15" s="1"/>
  <c r="Q11" i="16" s="1"/>
  <c r="Q11" i="17" s="1"/>
  <c r="Q11" i="18" s="1"/>
  <c r="Q11" i="19" s="1"/>
  <c r="Q11" i="20" s="1"/>
  <c r="Q11" i="21" s="1"/>
  <c r="Q11" i="22" s="1"/>
  <c r="Q11" i="23" s="1"/>
  <c r="Q11" i="24" s="1"/>
  <c r="Q11" i="25" s="1"/>
  <c r="Q11" i="26" s="1"/>
  <c r="Q11" i="27" s="1"/>
  <c r="Q11" i="28" s="1"/>
  <c r="Q11" i="29" s="1"/>
  <c r="Q11" i="30" s="1"/>
  <c r="Q11" i="31" s="1"/>
  <c r="Q25" i="12"/>
  <c r="Q25" i="13" s="1"/>
  <c r="Q25" i="14" s="1"/>
  <c r="Q25" i="15" s="1"/>
  <c r="Q25" i="16" s="1"/>
  <c r="Q25" i="17" s="1"/>
  <c r="Q25" i="18" s="1"/>
  <c r="Q25" i="19" s="1"/>
  <c r="Q25" i="20" s="1"/>
  <c r="Q25" i="21" s="1"/>
  <c r="Q25" i="22" s="1"/>
  <c r="Q25" i="23" s="1"/>
  <c r="Q25" i="24" s="1"/>
  <c r="Q25" i="25" s="1"/>
  <c r="Q25" i="26" s="1"/>
  <c r="Q25" i="27" s="1"/>
  <c r="Q25" i="28" s="1"/>
  <c r="Q25" i="29" s="1"/>
  <c r="Q25" i="30" s="1"/>
  <c r="Q25" i="31" s="1"/>
  <c r="Q33" i="12"/>
  <c r="Q33" i="13" s="1"/>
  <c r="Q33" i="14" s="1"/>
  <c r="Q33" i="15" s="1"/>
  <c r="Q33" i="16" s="1"/>
  <c r="Q33" i="17" s="1"/>
  <c r="Q33" i="18" s="1"/>
  <c r="Q33" i="19" s="1"/>
  <c r="Q33" i="20" s="1"/>
  <c r="Q33" i="21" s="1"/>
  <c r="Q33" i="22" s="1"/>
  <c r="Q33" i="23" s="1"/>
  <c r="Q33" i="24" s="1"/>
  <c r="Q33" i="25" s="1"/>
  <c r="Q33" i="26" s="1"/>
  <c r="Q33" i="27" s="1"/>
  <c r="Q33" i="28" s="1"/>
  <c r="Q33" i="29" s="1"/>
  <c r="Q33" i="30" s="1"/>
  <c r="Q33" i="31" s="1"/>
  <c r="Q22" i="12"/>
  <c r="Q22" i="13" s="1"/>
  <c r="Q22" i="14" s="1"/>
  <c r="Q22" i="15" s="1"/>
  <c r="Q22" i="16" s="1"/>
  <c r="Q22" i="17" s="1"/>
  <c r="Q22" i="18" s="1"/>
  <c r="Q22" i="19" s="1"/>
  <c r="Q22" i="20" s="1"/>
  <c r="Q22" i="21" s="1"/>
  <c r="Q22" i="22" s="1"/>
  <c r="Q22" i="23" s="1"/>
  <c r="Q22" i="24" s="1"/>
  <c r="Q22" i="25" s="1"/>
  <c r="Q22" i="26" s="1"/>
  <c r="Q22" i="27" s="1"/>
  <c r="Q22" i="28" s="1"/>
  <c r="Q22" i="29" s="1"/>
  <c r="Q22" i="30" s="1"/>
  <c r="Q22" i="31" s="1"/>
  <c r="Q27" i="12"/>
  <c r="Q27" i="13" s="1"/>
  <c r="Q27" i="14" s="1"/>
  <c r="Q27" i="15" s="1"/>
  <c r="Q27" i="16" s="1"/>
  <c r="Q27" i="17" s="1"/>
  <c r="Q27" i="18" s="1"/>
  <c r="Q27" i="19" s="1"/>
  <c r="Q27" i="20" s="1"/>
  <c r="Q27" i="21" s="1"/>
  <c r="Q27" i="22" s="1"/>
  <c r="Q27" i="23" s="1"/>
  <c r="Q27" i="24" s="1"/>
  <c r="Q27" i="25" s="1"/>
  <c r="Q27" i="26" s="1"/>
  <c r="Q27" i="27" s="1"/>
  <c r="Q27" i="28" s="1"/>
  <c r="Q27" i="29" s="1"/>
  <c r="Q27" i="30" s="1"/>
  <c r="Q27" i="31" s="1"/>
  <c r="Q32" i="12"/>
  <c r="Q32" i="13" s="1"/>
  <c r="Q32" i="14" s="1"/>
  <c r="Q32" i="15" s="1"/>
  <c r="Q32" i="16" s="1"/>
  <c r="Q32" i="17" s="1"/>
  <c r="Q32" i="18" s="1"/>
  <c r="Q32" i="19" s="1"/>
  <c r="Q32" i="20" s="1"/>
  <c r="Q32" i="21" s="1"/>
  <c r="Q32" i="22" s="1"/>
  <c r="Q32" i="23" s="1"/>
  <c r="Q32" i="24" s="1"/>
  <c r="Q32" i="25" s="1"/>
  <c r="Q32" i="26" s="1"/>
  <c r="Q32" i="27" s="1"/>
  <c r="Q32" i="28" s="1"/>
  <c r="Q32" i="29" s="1"/>
  <c r="Q32" i="30" s="1"/>
  <c r="Q32" i="31" s="1"/>
  <c r="Q24" i="12"/>
  <c r="Q24" i="13" s="1"/>
  <c r="Q24" i="14" s="1"/>
  <c r="Q24" i="15" s="1"/>
  <c r="Q24" i="16" s="1"/>
  <c r="Q24" i="17" s="1"/>
  <c r="Q24" i="18" s="1"/>
  <c r="Q24" i="19" s="1"/>
  <c r="Q24" i="20" s="1"/>
  <c r="Q24" i="21" s="1"/>
  <c r="Q24" i="22" s="1"/>
  <c r="Q24" i="23" s="1"/>
  <c r="Q24" i="24" s="1"/>
  <c r="Q24" i="25" s="1"/>
  <c r="Q24" i="26" s="1"/>
  <c r="Q24" i="27" s="1"/>
  <c r="Q24" i="28" s="1"/>
  <c r="Q24" i="29" s="1"/>
  <c r="Q24" i="30" s="1"/>
  <c r="Q24" i="31" s="1"/>
  <c r="Q21" i="12"/>
  <c r="Q21" i="13" s="1"/>
  <c r="Q21" i="14" s="1"/>
  <c r="Q21" i="15" s="1"/>
  <c r="Q21" i="16" s="1"/>
  <c r="Q21" i="17" s="1"/>
  <c r="Q21" i="18" s="1"/>
  <c r="Q21" i="19" s="1"/>
  <c r="Q21" i="20" s="1"/>
  <c r="Q21" i="21" s="1"/>
  <c r="Q21" i="22" s="1"/>
  <c r="Q21" i="23" s="1"/>
  <c r="Q21" i="24" s="1"/>
  <c r="Q21" i="25" s="1"/>
  <c r="Q21" i="26" s="1"/>
  <c r="Q21" i="27" s="1"/>
  <c r="Q21" i="28" s="1"/>
  <c r="Q21" i="29" s="1"/>
  <c r="Q21" i="30" s="1"/>
  <c r="Q21" i="31" s="1"/>
  <c r="Q20" i="12"/>
  <c r="Q20" i="13" s="1"/>
  <c r="Q20" i="14" s="1"/>
  <c r="Q20" i="15" s="1"/>
  <c r="Q20" i="16" s="1"/>
  <c r="Q20" i="17" s="1"/>
  <c r="Q20" i="18" s="1"/>
  <c r="Q20" i="19" s="1"/>
  <c r="Q20" i="20" s="1"/>
  <c r="Q20" i="21" s="1"/>
  <c r="Q20" i="22" s="1"/>
  <c r="Q20" i="23" s="1"/>
  <c r="Q20" i="24" s="1"/>
  <c r="Q20" i="25" s="1"/>
  <c r="Q20" i="26" s="1"/>
  <c r="Q20" i="27" s="1"/>
  <c r="Q20" i="28" s="1"/>
  <c r="Q20" i="29" s="1"/>
  <c r="Q20" i="30" s="1"/>
  <c r="Q20" i="31" s="1"/>
  <c r="Q12" i="12"/>
  <c r="Q12" i="13" s="1"/>
  <c r="Q12" i="14" s="1"/>
  <c r="Q12" i="15" s="1"/>
  <c r="Q12" i="16" s="1"/>
  <c r="Q12" i="17" s="1"/>
  <c r="Q12" i="18" s="1"/>
  <c r="Q12" i="19" s="1"/>
  <c r="Q12" i="20" s="1"/>
  <c r="Q12" i="21" s="1"/>
  <c r="Q12" i="22" s="1"/>
  <c r="Q12" i="23" s="1"/>
  <c r="Q12" i="24" s="1"/>
  <c r="Q12" i="25" s="1"/>
  <c r="Q12" i="26" s="1"/>
  <c r="Q12" i="27" s="1"/>
  <c r="Q12" i="28" s="1"/>
  <c r="Q12" i="29" s="1"/>
  <c r="Q12" i="30" s="1"/>
  <c r="Q12" i="31" s="1"/>
  <c r="Q23" i="12"/>
  <c r="Q23" i="13" s="1"/>
  <c r="Q23" i="14" s="1"/>
  <c r="Q23" i="15" s="1"/>
  <c r="Q23" i="16" s="1"/>
  <c r="Q23" i="17" s="1"/>
  <c r="Q23" i="18" s="1"/>
  <c r="Q23" i="19" s="1"/>
  <c r="Q23" i="20" s="1"/>
  <c r="Q23" i="21" s="1"/>
  <c r="Q23" i="22" s="1"/>
  <c r="Q23" i="23" s="1"/>
  <c r="Q23" i="24" s="1"/>
  <c r="Q23" i="25" s="1"/>
  <c r="Q23" i="26" s="1"/>
  <c r="Q23" i="27" s="1"/>
  <c r="Q23" i="28" s="1"/>
  <c r="Q23" i="29" s="1"/>
  <c r="Q23" i="30" s="1"/>
  <c r="Q23" i="31" s="1"/>
  <c r="Q26" i="12"/>
  <c r="Q26" i="13" s="1"/>
  <c r="Q26" i="14" s="1"/>
  <c r="Q26" i="15" s="1"/>
  <c r="Q26" i="16" s="1"/>
  <c r="Q26" i="17" s="1"/>
  <c r="Q26" i="18" s="1"/>
  <c r="Q26" i="19" s="1"/>
  <c r="Q26" i="20" s="1"/>
  <c r="Q26" i="21" s="1"/>
  <c r="Q26" i="22" s="1"/>
  <c r="Q26" i="23" s="1"/>
  <c r="Q26" i="24" s="1"/>
  <c r="Q26" i="25" s="1"/>
  <c r="Q26" i="26" s="1"/>
  <c r="Q26" i="27" s="1"/>
  <c r="Q26" i="28" s="1"/>
  <c r="Q26" i="29" s="1"/>
  <c r="Q26" i="30" s="1"/>
  <c r="Q26" i="31" s="1"/>
  <c r="Q14" i="12"/>
  <c r="Q14" i="13" s="1"/>
  <c r="Q14" i="14" s="1"/>
  <c r="Q14" i="15" s="1"/>
  <c r="Q14" i="16" s="1"/>
  <c r="Q14" i="17" s="1"/>
  <c r="Q14" i="18" s="1"/>
  <c r="Q14" i="19" s="1"/>
  <c r="Q14" i="20" s="1"/>
  <c r="Q14" i="21" s="1"/>
  <c r="Q14" i="22" s="1"/>
  <c r="Q14" i="23" s="1"/>
  <c r="Q14" i="24" s="1"/>
  <c r="Q14" i="25" s="1"/>
  <c r="Q14" i="26" s="1"/>
  <c r="Q14" i="27" s="1"/>
  <c r="Q14" i="28" s="1"/>
  <c r="Q14" i="29" s="1"/>
  <c r="Q14" i="30" s="1"/>
  <c r="Q14" i="31" s="1"/>
</calcChain>
</file>

<file path=xl/sharedStrings.xml><?xml version="1.0" encoding="utf-8"?>
<sst xmlns="http://schemas.openxmlformats.org/spreadsheetml/2006/main" count="2326" uniqueCount="107">
  <si>
    <t>Name</t>
  </si>
  <si>
    <t>Signature</t>
  </si>
  <si>
    <t>Mohd_Sufi</t>
  </si>
  <si>
    <t>SPT</t>
  </si>
  <si>
    <t>Ronal_Gultom</t>
  </si>
  <si>
    <t>Meikel_Sanjaya</t>
  </si>
  <si>
    <t>M.Yusof</t>
  </si>
  <si>
    <t>NIL</t>
  </si>
  <si>
    <t xml:space="preserve">Operation Month       </t>
  </si>
  <si>
    <t>February</t>
  </si>
  <si>
    <t xml:space="preserve">Operation Date       </t>
  </si>
  <si>
    <t>I. Production</t>
  </si>
  <si>
    <t>Sect.</t>
  </si>
  <si>
    <t>Description</t>
  </si>
  <si>
    <t>Capacity</t>
  </si>
  <si>
    <t>Shift II 
(7:00 - 15:00)</t>
  </si>
  <si>
    <t>Storage</t>
  </si>
  <si>
    <t>Shift III
(15:00 - 23:00)</t>
  </si>
  <si>
    <t>Shift I 
(23:00 - 7:00)</t>
  </si>
  <si>
    <t>To Day</t>
  </si>
  <si>
    <t>MTD</t>
  </si>
  <si>
    <t>D. Time</t>
  </si>
  <si>
    <t>MT/Day</t>
  </si>
  <si>
    <t>Product</t>
  </si>
  <si>
    <t>D.Time</t>
  </si>
  <si>
    <t>122T...</t>
  </si>
  <si>
    <t>Hours</t>
  </si>
  <si>
    <t>Feed ( C16-18 PK)</t>
  </si>
  <si>
    <t>Oleic Acid</t>
  </si>
  <si>
    <t>Hard Fraction</t>
  </si>
  <si>
    <t>Feed ( H.C16-18 PK)</t>
  </si>
  <si>
    <t>Feed ( H.C16-18 PS)</t>
  </si>
  <si>
    <t>Light End</t>
  </si>
  <si>
    <t>Side Fraction I (C1698)</t>
  </si>
  <si>
    <t>Side Fraction II (H.C16-18 PK)</t>
  </si>
  <si>
    <t>-</t>
  </si>
  <si>
    <t>Side Fraction II (H.C16-18 PS)</t>
  </si>
  <si>
    <t>Heavy End</t>
  </si>
  <si>
    <t>Fatty Acid Residue</t>
  </si>
  <si>
    <t>107+</t>
  </si>
  <si>
    <t>Feed (C8-10)</t>
  </si>
  <si>
    <t>T24</t>
  </si>
  <si>
    <t>Product (H.C8-10)</t>
  </si>
  <si>
    <t>T112</t>
  </si>
  <si>
    <t>105+</t>
  </si>
  <si>
    <t>Feed (H.C8-10)</t>
  </si>
  <si>
    <t>Light End (C6)</t>
  </si>
  <si>
    <t>T117</t>
  </si>
  <si>
    <t>Side Fraction I (C899)</t>
  </si>
  <si>
    <t>T115</t>
  </si>
  <si>
    <t>Side Fraction II (C1099)</t>
  </si>
  <si>
    <t>colom</t>
  </si>
  <si>
    <t>Residue (C12)</t>
  </si>
  <si>
    <t>T119</t>
  </si>
  <si>
    <t>Feed I (C8-10)</t>
  </si>
  <si>
    <t>T120</t>
  </si>
  <si>
    <t>Feed II (Oleic Acid)</t>
  </si>
  <si>
    <t>Feed III (Glycerine)</t>
  </si>
  <si>
    <t>T124</t>
  </si>
  <si>
    <t>Product I (MCT)</t>
  </si>
  <si>
    <t>T129</t>
  </si>
  <si>
    <t>Product II (GMO)</t>
  </si>
  <si>
    <t>T96</t>
  </si>
  <si>
    <t>T100</t>
  </si>
  <si>
    <t>T101</t>
  </si>
  <si>
    <t>T103</t>
  </si>
  <si>
    <t>T107</t>
  </si>
  <si>
    <t>T34</t>
  </si>
  <si>
    <t>T94/T95</t>
  </si>
  <si>
    <t>T94</t>
  </si>
  <si>
    <t>T99</t>
  </si>
  <si>
    <t>T102</t>
  </si>
  <si>
    <t xml:space="preserve">T103 </t>
  </si>
  <si>
    <t>T106</t>
  </si>
  <si>
    <t>T128</t>
  </si>
  <si>
    <t xml:space="preserve">T101 </t>
  </si>
  <si>
    <t>T127</t>
  </si>
  <si>
    <t>T114</t>
  </si>
  <si>
    <t>Coloum</t>
  </si>
  <si>
    <t>coloum</t>
  </si>
  <si>
    <t>T116</t>
  </si>
  <si>
    <t>T98</t>
  </si>
  <si>
    <t>Date</t>
  </si>
  <si>
    <t>Feed Stream (C16-18 Raw Ester)</t>
  </si>
  <si>
    <t>Oleic Intermediate Stream</t>
  </si>
  <si>
    <t>Heavy Phase Fraction</t>
  </si>
  <si>
    <t>Feed Stream (Hydrogenated C16-18)</t>
  </si>
  <si>
    <t>Feed Stream (Hydrogenated Process Stock)</t>
  </si>
  <si>
    <t>Light Volatile Fraction</t>
  </si>
  <si>
    <t>Side Cut Fraction A</t>
  </si>
  <si>
    <t>Side Cut Fraction B</t>
  </si>
  <si>
    <t>Side Cut Fraction C</t>
  </si>
  <si>
    <t>Heavy Bottom Fraction</t>
  </si>
  <si>
    <t>Organic Residue Stream</t>
  </si>
  <si>
    <t>Feed Stream (C8-10 Process Input))</t>
  </si>
  <si>
    <t>Hydrogenated Product Stream</t>
  </si>
  <si>
    <t>Light Hydrocarbon Fraction</t>
  </si>
  <si>
    <t>Distillation Side Cut A</t>
  </si>
  <si>
    <t>Distillation Side Cut B</t>
  </si>
  <si>
    <t>Heavy Residual Stream</t>
  </si>
  <si>
    <t>Feed Primary Stream (C8-10)</t>
  </si>
  <si>
    <t>Feed Stream Auxiliary  (Glycerol Phase)</t>
  </si>
  <si>
    <t>Feed Secondary Stream (Oleic Intermediate)</t>
  </si>
  <si>
    <t>Product Stream A (Medium Chain Ester)</t>
  </si>
  <si>
    <t>Product Stream B (Distilled Chemical Output)</t>
  </si>
  <si>
    <t>102+</t>
  </si>
  <si>
    <t>103+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</si>
</sst>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@\ * &quot;:&quot;"/>
    <numFmt numFmtId="165" formatCode="mmm"/>
    <numFmt numFmtId="166" formatCode="[$-409]d\-mmm\-yy;@"/>
    <numFmt numFmtId="167" formatCode="0.000"/>
    <numFmt numFmtId="168" formatCode="0.0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8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2" tint="-0.49998474074526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7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medium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medium">
        <color indexed="64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18">
    <xf numFmtId="0" fontId="0" fillId="0" borderId="0" xfId="0"/>
    <xf numFmtId="0" fontId="2" fillId="0" borderId="0" xfId="1"/>
    <xf numFmtId="0" fontId="3" fillId="0" borderId="0" xfId="1" applyFont="1" applyAlignment="1">
      <alignment horizontal="center" vertical="center"/>
    </xf>
    <xf numFmtId="0" fontId="2" fillId="0" borderId="0" xfId="1" applyAlignment="1">
      <alignment horizontal="center"/>
    </xf>
    <xf numFmtId="0" fontId="2" fillId="0" borderId="0" xfId="1" applyAlignment="1">
      <alignment horizontal="center" vertical="center"/>
    </xf>
    <xf numFmtId="0" fontId="3" fillId="0" borderId="0" xfId="1" quotePrefix="1" applyFont="1" applyAlignment="1">
      <alignment horizontal="center" vertical="center"/>
    </xf>
    <xf numFmtId="0" fontId="2" fillId="0" borderId="0" xfId="1" quotePrefix="1" applyAlignment="1">
      <alignment horizontal="center" vertical="center"/>
    </xf>
    <xf numFmtId="0" fontId="5" fillId="0" borderId="0" xfId="2" applyFont="1" applyProtection="1">
      <protection locked="0"/>
    </xf>
    <xf numFmtId="0" fontId="6" fillId="0" borderId="0" xfId="2" applyFont="1" applyProtection="1">
      <protection locked="0"/>
    </xf>
    <xf numFmtId="0" fontId="1" fillId="0" borderId="0" xfId="2" applyProtection="1">
      <protection locked="0"/>
    </xf>
    <xf numFmtId="0" fontId="7" fillId="0" borderId="0" xfId="2" applyFont="1" applyProtection="1">
      <protection locked="0"/>
    </xf>
    <xf numFmtId="0" fontId="9" fillId="0" borderId="0" xfId="2" applyFont="1" applyProtection="1">
      <protection locked="0"/>
    </xf>
    <xf numFmtId="164" fontId="10" fillId="0" borderId="0" xfId="2" applyNumberFormat="1" applyFont="1" applyAlignment="1" applyProtection="1">
      <alignment horizontal="left"/>
      <protection locked="0"/>
    </xf>
    <xf numFmtId="165" fontId="10" fillId="0" borderId="0" xfId="2" applyNumberFormat="1" applyFont="1" applyAlignment="1" applyProtection="1">
      <alignment horizontal="center"/>
      <protection locked="0"/>
    </xf>
    <xf numFmtId="0" fontId="10" fillId="0" borderId="0" xfId="2" applyFont="1" applyAlignment="1" applyProtection="1">
      <alignment horizontal="center"/>
      <protection locked="0"/>
    </xf>
    <xf numFmtId="0" fontId="7" fillId="0" borderId="0" xfId="2" applyFont="1" applyAlignment="1" applyProtection="1">
      <alignment horizontal="center"/>
      <protection locked="0"/>
    </xf>
    <xf numFmtId="0" fontId="11" fillId="0" borderId="0" xfId="2" applyFont="1" applyAlignment="1" applyProtection="1">
      <alignment horizontal="center"/>
      <protection locked="0"/>
    </xf>
    <xf numFmtId="0" fontId="10" fillId="0" borderId="0" xfId="2" applyFont="1" applyAlignment="1" applyProtection="1">
      <alignment horizontal="center" vertical="center"/>
      <protection locked="0"/>
    </xf>
    <xf numFmtId="0" fontId="12" fillId="0" borderId="0" xfId="2" applyFont="1" applyAlignment="1" applyProtection="1">
      <alignment horizontal="left"/>
      <protection locked="0"/>
    </xf>
    <xf numFmtId="0" fontId="10" fillId="0" borderId="0" xfId="2" applyFont="1" applyAlignment="1" applyProtection="1">
      <alignment horizontal="left"/>
      <protection locked="0"/>
    </xf>
    <xf numFmtId="0" fontId="13" fillId="0" borderId="4" xfId="2" applyFont="1" applyBorder="1" applyAlignment="1" applyProtection="1">
      <alignment horizontal="center" vertical="center"/>
      <protection locked="0"/>
    </xf>
    <xf numFmtId="0" fontId="13" fillId="0" borderId="3" xfId="2" applyFont="1" applyBorder="1" applyAlignment="1" applyProtection="1">
      <alignment horizontal="center" vertical="center"/>
      <protection locked="0"/>
    </xf>
    <xf numFmtId="0" fontId="13" fillId="0" borderId="2" xfId="2" applyFont="1" applyBorder="1" applyAlignment="1" applyProtection="1">
      <alignment horizontal="center" vertical="center"/>
      <protection locked="0"/>
    </xf>
    <xf numFmtId="0" fontId="13" fillId="2" borderId="3" xfId="2" applyFont="1" applyFill="1" applyBorder="1" applyAlignment="1" applyProtection="1">
      <alignment horizontal="center" vertical="center"/>
      <protection locked="0"/>
    </xf>
    <xf numFmtId="0" fontId="13" fillId="0" borderId="8" xfId="2" applyFont="1" applyBorder="1" applyAlignment="1" applyProtection="1">
      <alignment horizontal="center" vertical="center"/>
      <protection locked="0"/>
    </xf>
    <xf numFmtId="0" fontId="13" fillId="0" borderId="6" xfId="2" applyFont="1" applyBorder="1" applyAlignment="1" applyProtection="1">
      <alignment horizontal="center" vertical="center"/>
      <protection locked="0"/>
    </xf>
    <xf numFmtId="0" fontId="14" fillId="0" borderId="6" xfId="2" applyFont="1" applyBorder="1" applyAlignment="1" applyProtection="1">
      <alignment horizontal="center" vertical="center"/>
      <protection locked="0"/>
    </xf>
    <xf numFmtId="0" fontId="13" fillId="2" borderId="7" xfId="2" applyFont="1" applyFill="1" applyBorder="1" applyAlignment="1" applyProtection="1">
      <alignment horizontal="center" vertical="center"/>
      <protection locked="0"/>
    </xf>
    <xf numFmtId="0" fontId="12" fillId="0" borderId="0" xfId="2" applyFont="1" applyAlignment="1" applyProtection="1">
      <alignment horizontal="center" vertical="center"/>
      <protection locked="0"/>
    </xf>
    <xf numFmtId="0" fontId="13" fillId="2" borderId="58" xfId="2" applyFont="1" applyFill="1" applyBorder="1" applyAlignment="1" applyProtection="1">
      <alignment horizontal="center" vertical="center"/>
      <protection locked="0"/>
    </xf>
    <xf numFmtId="0" fontId="13" fillId="2" borderId="60" xfId="2" applyFont="1" applyFill="1" applyBorder="1" applyAlignment="1" applyProtection="1">
      <alignment horizontal="center" vertical="center"/>
      <protection locked="0"/>
    </xf>
    <xf numFmtId="0" fontId="2" fillId="0" borderId="32" xfId="1" applyBorder="1"/>
    <xf numFmtId="0" fontId="13" fillId="5" borderId="4" xfId="2" applyFont="1" applyFill="1" applyBorder="1" applyAlignment="1">
      <alignment horizontal="center" vertical="center"/>
    </xf>
    <xf numFmtId="0" fontId="13" fillId="6" borderId="63" xfId="2" applyFont="1" applyFill="1" applyBorder="1" applyAlignment="1">
      <alignment horizontal="center" vertical="center"/>
    </xf>
    <xf numFmtId="0" fontId="2" fillId="0" borderId="6" xfId="1" applyBorder="1"/>
    <xf numFmtId="0" fontId="15" fillId="0" borderId="12" xfId="2" applyFont="1" applyBorder="1" applyAlignment="1">
      <alignment horizontal="center"/>
    </xf>
    <xf numFmtId="0" fontId="15" fillId="0" borderId="17" xfId="2" applyFont="1" applyBorder="1" applyAlignment="1">
      <alignment horizontal="center"/>
    </xf>
    <xf numFmtId="0" fontId="15" fillId="0" borderId="22" xfId="2" applyFont="1" applyBorder="1" applyAlignment="1">
      <alignment horizontal="center"/>
    </xf>
    <xf numFmtId="0" fontId="15" fillId="0" borderId="25" xfId="2" applyFont="1" applyBorder="1" applyAlignment="1">
      <alignment horizontal="center"/>
    </xf>
    <xf numFmtId="0" fontId="2" fillId="0" borderId="52" xfId="1" applyBorder="1"/>
    <xf numFmtId="0" fontId="2" fillId="0" borderId="40" xfId="1" applyBorder="1"/>
    <xf numFmtId="0" fontId="15" fillId="0" borderId="12" xfId="2" applyFont="1" applyBorder="1" applyAlignment="1" applyProtection="1">
      <alignment horizontal="center"/>
      <protection locked="0"/>
    </xf>
    <xf numFmtId="167" fontId="15" fillId="0" borderId="10" xfId="2" applyNumberFormat="1" applyFont="1" applyBorder="1" applyProtection="1">
      <protection locked="0"/>
    </xf>
    <xf numFmtId="168" fontId="15" fillId="0" borderId="10" xfId="2" applyNumberFormat="1" applyFont="1" applyBorder="1" applyProtection="1">
      <protection locked="0"/>
    </xf>
    <xf numFmtId="0" fontId="10" fillId="0" borderId="10" xfId="2" applyFont="1" applyBorder="1" applyAlignment="1" applyProtection="1">
      <alignment horizontal="center" vertical="center"/>
      <protection locked="0"/>
    </xf>
    <xf numFmtId="167" fontId="16" fillId="0" borderId="10" xfId="2" applyNumberFormat="1" applyFont="1" applyBorder="1"/>
    <xf numFmtId="168" fontId="16" fillId="0" borderId="13" xfId="2" applyNumberFormat="1" applyFont="1" applyBorder="1"/>
    <xf numFmtId="0" fontId="15" fillId="0" borderId="17" xfId="2" applyFont="1" applyBorder="1" applyAlignment="1" applyProtection="1">
      <alignment horizontal="center"/>
      <protection locked="0"/>
    </xf>
    <xf numFmtId="167" fontId="15" fillId="0" borderId="15" xfId="2" applyNumberFormat="1" applyFont="1" applyBorder="1" applyProtection="1">
      <protection locked="0"/>
    </xf>
    <xf numFmtId="0" fontId="10" fillId="0" borderId="15" xfId="2" applyFont="1" applyBorder="1" applyAlignment="1" applyProtection="1">
      <alignment horizontal="center" vertical="center"/>
      <protection locked="0"/>
    </xf>
    <xf numFmtId="167" fontId="16" fillId="0" borderId="15" xfId="2" applyNumberFormat="1" applyFont="1" applyBorder="1"/>
    <xf numFmtId="168" fontId="16" fillId="0" borderId="18" xfId="2" applyNumberFormat="1" applyFont="1" applyBorder="1"/>
    <xf numFmtId="0" fontId="15" fillId="0" borderId="22" xfId="2" applyFont="1" applyBorder="1" applyAlignment="1" applyProtection="1">
      <alignment horizontal="center"/>
      <protection locked="0"/>
    </xf>
    <xf numFmtId="167" fontId="15" fillId="0" borderId="20" xfId="2" applyNumberFormat="1" applyFont="1" applyBorder="1" applyProtection="1">
      <protection locked="0"/>
    </xf>
    <xf numFmtId="0" fontId="10" fillId="0" borderId="20" xfId="2" applyFont="1" applyBorder="1" applyAlignment="1" applyProtection="1">
      <alignment horizontal="center" vertical="center"/>
      <protection locked="0"/>
    </xf>
    <xf numFmtId="167" fontId="16" fillId="0" borderId="20" xfId="2" applyNumberFormat="1" applyFont="1" applyBorder="1"/>
    <xf numFmtId="0" fontId="15" fillId="0" borderId="25" xfId="2" applyFont="1" applyBorder="1" applyAlignment="1" applyProtection="1">
      <alignment horizontal="center"/>
      <protection locked="0"/>
    </xf>
    <xf numFmtId="167" fontId="15" fillId="0" borderId="24" xfId="2" applyNumberFormat="1" applyFont="1" applyBorder="1" applyAlignment="1" applyProtection="1">
      <alignment horizontal="right" vertical="center"/>
      <protection locked="0"/>
    </xf>
    <xf numFmtId="168" fontId="15" fillId="0" borderId="24" xfId="2" applyNumberFormat="1" applyFont="1" applyBorder="1" applyProtection="1">
      <protection locked="0"/>
    </xf>
    <xf numFmtId="0" fontId="10" fillId="0" borderId="24" xfId="2" applyFont="1" applyBorder="1" applyAlignment="1" applyProtection="1">
      <alignment horizontal="center" vertical="center"/>
      <protection locked="0"/>
    </xf>
    <xf numFmtId="167" fontId="15" fillId="0" borderId="24" xfId="2" applyNumberFormat="1" applyFont="1" applyBorder="1" applyProtection="1">
      <protection locked="0"/>
    </xf>
    <xf numFmtId="167" fontId="16" fillId="0" borderId="24" xfId="2" applyNumberFormat="1" applyFont="1" applyBorder="1"/>
    <xf numFmtId="168" fontId="16" fillId="0" borderId="26" xfId="2" applyNumberFormat="1" applyFont="1" applyBorder="1"/>
    <xf numFmtId="0" fontId="15" fillId="0" borderId="32" xfId="2" applyFont="1" applyBorder="1" applyAlignment="1" applyProtection="1">
      <alignment horizontal="center"/>
      <protection locked="0"/>
    </xf>
    <xf numFmtId="167" fontId="16" fillId="0" borderId="28" xfId="2" applyNumberFormat="1" applyFont="1" applyBorder="1"/>
    <xf numFmtId="14" fontId="10" fillId="0" borderId="24" xfId="2" applyNumberFormat="1" applyFont="1" applyBorder="1" applyAlignment="1" applyProtection="1">
      <alignment horizontal="center" vertical="center"/>
      <protection locked="0"/>
    </xf>
    <xf numFmtId="0" fontId="13" fillId="0" borderId="20" xfId="2" applyFont="1" applyBorder="1" applyAlignment="1" applyProtection="1">
      <alignment horizontal="center" vertical="center"/>
      <protection locked="0"/>
    </xf>
    <xf numFmtId="168" fontId="16" fillId="0" borderId="21" xfId="2" applyNumberFormat="1" applyFont="1" applyBorder="1"/>
    <xf numFmtId="168" fontId="16" fillId="0" borderId="16" xfId="2" applyNumberFormat="1" applyFont="1" applyBorder="1"/>
    <xf numFmtId="0" fontId="15" fillId="0" borderId="43" xfId="2" applyFont="1" applyBorder="1" applyAlignment="1" applyProtection="1">
      <alignment horizontal="center"/>
      <protection locked="0"/>
    </xf>
    <xf numFmtId="167" fontId="15" fillId="0" borderId="41" xfId="2" applyNumberFormat="1" applyFont="1" applyBorder="1" applyProtection="1">
      <protection locked="0"/>
    </xf>
    <xf numFmtId="14" fontId="10" fillId="0" borderId="41" xfId="2" applyNumberFormat="1" applyFont="1" applyBorder="1" applyAlignment="1" applyProtection="1">
      <alignment horizontal="center" vertical="center"/>
      <protection locked="0"/>
    </xf>
    <xf numFmtId="167" fontId="16" fillId="0" borderId="41" xfId="2" applyNumberFormat="1" applyFont="1" applyBorder="1"/>
    <xf numFmtId="168" fontId="16" fillId="0" borderId="42" xfId="2" applyNumberFormat="1" applyFont="1" applyBorder="1"/>
    <xf numFmtId="0" fontId="15" fillId="0" borderId="24" xfId="2" applyFont="1" applyBorder="1" applyAlignment="1" applyProtection="1">
      <alignment horizontal="center"/>
      <protection locked="0"/>
    </xf>
    <xf numFmtId="168" fontId="15" fillId="0" borderId="30" xfId="2" applyNumberFormat="1" applyFont="1" applyBorder="1" applyProtection="1">
      <protection locked="0"/>
    </xf>
    <xf numFmtId="167" fontId="15" fillId="0" borderId="29" xfId="2" applyNumberFormat="1" applyFont="1" applyBorder="1" applyProtection="1">
      <protection locked="0"/>
    </xf>
    <xf numFmtId="0" fontId="10" fillId="0" borderId="25" xfId="2" applyFont="1" applyBorder="1" applyAlignment="1" applyProtection="1">
      <alignment horizontal="center" vertical="center"/>
      <protection locked="0"/>
    </xf>
    <xf numFmtId="168" fontId="16" fillId="0" borderId="31" xfId="2" applyNumberFormat="1" applyFont="1" applyBorder="1"/>
    <xf numFmtId="0" fontId="15" fillId="0" borderId="15" xfId="2" applyFont="1" applyBorder="1" applyAlignment="1" applyProtection="1">
      <alignment horizontal="center"/>
      <protection locked="0"/>
    </xf>
    <xf numFmtId="167" fontId="15" fillId="0" borderId="34" xfId="2" applyNumberFormat="1" applyFont="1" applyBorder="1" applyProtection="1">
      <protection locked="0"/>
    </xf>
    <xf numFmtId="167" fontId="15" fillId="0" borderId="33" xfId="2" applyNumberFormat="1" applyFont="1" applyBorder="1" applyProtection="1">
      <protection locked="0"/>
    </xf>
    <xf numFmtId="0" fontId="10" fillId="0" borderId="17" xfId="2" applyFont="1" applyBorder="1" applyAlignment="1" applyProtection="1">
      <alignment horizontal="center" vertical="center"/>
      <protection locked="0"/>
    </xf>
    <xf numFmtId="168" fontId="16" fillId="0" borderId="35" xfId="2" applyNumberFormat="1" applyFont="1" applyBorder="1"/>
    <xf numFmtId="0" fontId="15" fillId="0" borderId="20" xfId="2" applyFont="1" applyBorder="1" applyAlignment="1" applyProtection="1">
      <alignment horizontal="center"/>
      <protection locked="0"/>
    </xf>
    <xf numFmtId="167" fontId="15" fillId="0" borderId="62" xfId="2" applyNumberFormat="1" applyFont="1" applyBorder="1" applyProtection="1">
      <protection locked="0"/>
    </xf>
    <xf numFmtId="167" fontId="15" fillId="0" borderId="61" xfId="2" applyNumberFormat="1" applyFont="1" applyBorder="1" applyProtection="1">
      <protection locked="0"/>
    </xf>
    <xf numFmtId="0" fontId="10" fillId="0" borderId="22" xfId="2" applyFont="1" applyBorder="1" applyAlignment="1" applyProtection="1">
      <alignment horizontal="center" vertical="center"/>
      <protection locked="0"/>
    </xf>
    <xf numFmtId="168" fontId="16" fillId="0" borderId="55" xfId="2" applyNumberFormat="1" applyFont="1" applyBorder="1"/>
    <xf numFmtId="0" fontId="1" fillId="0" borderId="56" xfId="2" applyBorder="1" applyProtection="1">
      <protection locked="0"/>
    </xf>
    <xf numFmtId="0" fontId="10" fillId="0" borderId="33" xfId="2" applyFont="1" applyBorder="1" applyAlignment="1" applyProtection="1">
      <alignment horizontal="center" vertical="center"/>
      <protection locked="0"/>
    </xf>
    <xf numFmtId="0" fontId="15" fillId="0" borderId="41" xfId="2" applyFont="1" applyBorder="1" applyAlignment="1" applyProtection="1">
      <alignment horizontal="center"/>
      <protection locked="0"/>
    </xf>
    <xf numFmtId="167" fontId="15" fillId="0" borderId="50" xfId="2" applyNumberFormat="1" applyFont="1" applyBorder="1" applyProtection="1">
      <protection locked="0"/>
    </xf>
    <xf numFmtId="167" fontId="15" fillId="0" borderId="49" xfId="2" applyNumberFormat="1" applyFont="1" applyBorder="1" applyProtection="1">
      <protection locked="0"/>
    </xf>
    <xf numFmtId="14" fontId="10" fillId="0" borderId="43" xfId="2" applyNumberFormat="1" applyFont="1" applyBorder="1" applyAlignment="1" applyProtection="1">
      <alignment horizontal="center" vertical="center"/>
      <protection locked="0"/>
    </xf>
    <xf numFmtId="168" fontId="16" fillId="0" borderId="51" xfId="2" applyNumberFormat="1" applyFont="1" applyBorder="1"/>
    <xf numFmtId="167" fontId="16" fillId="0" borderId="46" xfId="2" applyNumberFormat="1" applyFont="1" applyBorder="1"/>
    <xf numFmtId="168" fontId="16" fillId="0" borderId="47" xfId="2" applyNumberFormat="1" applyFont="1" applyBorder="1"/>
    <xf numFmtId="167" fontId="16" fillId="0" borderId="33" xfId="2" applyNumberFormat="1" applyFont="1" applyBorder="1"/>
    <xf numFmtId="168" fontId="16" fillId="0" borderId="48" xfId="2" applyNumberFormat="1" applyFont="1" applyBorder="1"/>
    <xf numFmtId="167" fontId="16" fillId="0" borderId="61" xfId="2" applyNumberFormat="1" applyFont="1" applyBorder="1"/>
    <xf numFmtId="167" fontId="16" fillId="0" borderId="29" xfId="2" applyNumberFormat="1" applyFont="1" applyBorder="1"/>
    <xf numFmtId="168" fontId="16" fillId="0" borderId="64" xfId="2" applyNumberFormat="1" applyFont="1" applyBorder="1"/>
    <xf numFmtId="167" fontId="16" fillId="0" borderId="49" xfId="2" applyNumberFormat="1" applyFont="1" applyBorder="1"/>
    <xf numFmtId="167" fontId="16" fillId="0" borderId="53" xfId="2" applyNumberFormat="1" applyFont="1" applyBorder="1"/>
    <xf numFmtId="167" fontId="16" fillId="0" borderId="65" xfId="2" applyNumberFormat="1" applyFont="1" applyBorder="1"/>
    <xf numFmtId="167" fontId="1" fillId="0" borderId="0" xfId="2" applyNumberFormat="1" applyProtection="1">
      <protection locked="0"/>
    </xf>
    <xf numFmtId="0" fontId="7" fillId="0" borderId="15" xfId="2" applyFont="1" applyBorder="1" applyAlignment="1" applyProtection="1">
      <alignment horizontal="center" vertical="center"/>
      <protection locked="0"/>
    </xf>
    <xf numFmtId="167" fontId="16" fillId="0" borderId="45" xfId="2" applyNumberFormat="1" applyFont="1" applyBorder="1"/>
    <xf numFmtId="167" fontId="16" fillId="0" borderId="17" xfId="2" applyNumberFormat="1" applyFont="1" applyBorder="1"/>
    <xf numFmtId="167" fontId="16" fillId="0" borderId="25" xfId="2" applyNumberFormat="1" applyFont="1" applyBorder="1"/>
    <xf numFmtId="167" fontId="16" fillId="0" borderId="43" xfId="2" applyNumberFormat="1" applyFont="1" applyBorder="1"/>
    <xf numFmtId="0" fontId="15" fillId="0" borderId="43" xfId="2" applyFont="1" applyBorder="1" applyAlignment="1">
      <alignment horizontal="center"/>
    </xf>
    <xf numFmtId="0" fontId="6" fillId="0" borderId="36" xfId="2" applyFont="1" applyBorder="1" applyAlignment="1" applyProtection="1">
      <alignment horizontal="center" vertical="center"/>
      <protection locked="0"/>
    </xf>
    <xf numFmtId="0" fontId="6" fillId="0" borderId="37" xfId="2" applyFont="1" applyBorder="1" applyAlignment="1" applyProtection="1">
      <alignment horizontal="center" vertical="center"/>
      <protection locked="0"/>
    </xf>
    <xf numFmtId="0" fontId="6" fillId="0" borderId="38" xfId="2" applyFont="1" applyBorder="1" applyAlignment="1" applyProtection="1">
      <alignment horizontal="center" vertical="center"/>
      <protection locked="0"/>
    </xf>
    <xf numFmtId="0" fontId="6" fillId="0" borderId="32" xfId="2" applyFont="1" applyBorder="1" applyAlignment="1" applyProtection="1">
      <alignment horizontal="center" vertical="center"/>
      <protection locked="0"/>
    </xf>
    <xf numFmtId="0" fontId="6" fillId="0" borderId="39" xfId="2" applyFont="1" applyBorder="1" applyAlignment="1" applyProtection="1">
      <alignment horizontal="center" vertical="center"/>
      <protection locked="0"/>
    </xf>
    <xf numFmtId="0" fontId="6" fillId="0" borderId="40" xfId="2" applyFont="1" applyBorder="1" applyAlignment="1" applyProtection="1">
      <alignment horizontal="center" vertical="center"/>
      <protection locked="0"/>
    </xf>
    <xf numFmtId="0" fontId="15" fillId="0" borderId="66" xfId="2" applyFont="1" applyBorder="1" applyAlignment="1" applyProtection="1">
      <alignment horizontal="left"/>
      <protection locked="0"/>
    </xf>
    <xf numFmtId="0" fontId="15" fillId="0" borderId="67" xfId="2" applyFont="1" applyBorder="1" applyAlignment="1" applyProtection="1">
      <alignment horizontal="left"/>
      <protection locked="0"/>
    </xf>
    <xf numFmtId="0" fontId="15" fillId="0" borderId="64" xfId="2" applyFont="1" applyBorder="1" applyAlignment="1" applyProtection="1">
      <alignment horizontal="left"/>
      <protection locked="0"/>
    </xf>
    <xf numFmtId="0" fontId="15" fillId="0" borderId="33" xfId="2" applyFont="1" applyBorder="1" applyAlignment="1" applyProtection="1">
      <alignment horizontal="left"/>
      <protection locked="0"/>
    </xf>
    <xf numFmtId="0" fontId="15" fillId="0" borderId="34" xfId="2" applyFont="1" applyBorder="1" applyAlignment="1" applyProtection="1">
      <alignment horizontal="left"/>
      <protection locked="0"/>
    </xf>
    <xf numFmtId="0" fontId="15" fillId="0" borderId="35" xfId="2" applyFont="1" applyBorder="1" applyAlignment="1" applyProtection="1">
      <alignment horizontal="left"/>
      <protection locked="0"/>
    </xf>
    <xf numFmtId="0" fontId="15" fillId="0" borderId="49" xfId="2" applyFont="1" applyBorder="1" applyAlignment="1" applyProtection="1">
      <alignment horizontal="left"/>
      <protection locked="0"/>
    </xf>
    <xf numFmtId="0" fontId="15" fillId="0" borderId="50" xfId="2" applyFont="1" applyBorder="1" applyAlignment="1" applyProtection="1">
      <alignment horizontal="left"/>
      <protection locked="0"/>
    </xf>
    <xf numFmtId="0" fontId="15" fillId="0" borderId="51" xfId="2" applyFont="1" applyBorder="1" applyAlignment="1" applyProtection="1">
      <alignment horizontal="left"/>
      <protection locked="0"/>
    </xf>
    <xf numFmtId="0" fontId="6" fillId="0" borderId="23" xfId="2" applyFont="1" applyBorder="1" applyAlignment="1" applyProtection="1">
      <alignment horizontal="center" vertical="center"/>
      <protection locked="0"/>
    </xf>
    <xf numFmtId="0" fontId="6" fillId="0" borderId="24" xfId="2" applyFont="1" applyBorder="1" applyAlignment="1" applyProtection="1">
      <alignment horizontal="center" vertical="center"/>
      <protection locked="0"/>
    </xf>
    <xf numFmtId="0" fontId="6" fillId="0" borderId="19" xfId="2" applyFont="1" applyBorder="1" applyAlignment="1" applyProtection="1">
      <alignment horizontal="center" vertical="center"/>
      <protection locked="0"/>
    </xf>
    <xf numFmtId="0" fontId="6" fillId="0" borderId="20" xfId="2" applyFont="1" applyBorder="1" applyAlignment="1" applyProtection="1">
      <alignment horizontal="center" vertical="center"/>
      <protection locked="0"/>
    </xf>
    <xf numFmtId="0" fontId="15" fillId="0" borderId="61" xfId="2" applyFont="1" applyBorder="1" applyAlignment="1" applyProtection="1">
      <alignment horizontal="left"/>
      <protection locked="0"/>
    </xf>
    <xf numFmtId="0" fontId="15" fillId="0" borderId="62" xfId="2" applyFont="1" applyBorder="1" applyAlignment="1" applyProtection="1">
      <alignment horizontal="left"/>
      <protection locked="0"/>
    </xf>
    <xf numFmtId="0" fontId="15" fillId="0" borderId="55" xfId="2" applyFont="1" applyBorder="1" applyAlignment="1" applyProtection="1">
      <alignment horizontal="left"/>
      <protection locked="0"/>
    </xf>
    <xf numFmtId="0" fontId="6" fillId="0" borderId="14" xfId="2" applyFont="1" applyBorder="1" applyAlignment="1" applyProtection="1">
      <alignment horizontal="center" vertical="center"/>
      <protection locked="0"/>
    </xf>
    <xf numFmtId="0" fontId="6" fillId="0" borderId="15" xfId="2" applyFont="1" applyBorder="1" applyAlignment="1" applyProtection="1">
      <alignment horizontal="center" vertical="center"/>
      <protection locked="0"/>
    </xf>
    <xf numFmtId="0" fontId="6" fillId="0" borderId="9" xfId="2" applyFont="1" applyBorder="1" applyAlignment="1" applyProtection="1">
      <alignment horizontal="center" vertical="center"/>
      <protection locked="0"/>
    </xf>
    <xf numFmtId="0" fontId="6" fillId="0" borderId="10" xfId="2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>
      <alignment horizontal="left"/>
    </xf>
    <xf numFmtId="0" fontId="15" fillId="0" borderId="11" xfId="0" applyFont="1" applyBorder="1" applyAlignment="1">
      <alignment horizontal="left"/>
    </xf>
    <xf numFmtId="0" fontId="15" fillId="0" borderId="15" xfId="0" applyFont="1" applyBorder="1" applyAlignment="1">
      <alignment horizontal="left"/>
    </xf>
    <xf numFmtId="0" fontId="15" fillId="0" borderId="16" xfId="0" applyFont="1" applyBorder="1" applyAlignment="1">
      <alignment horizontal="left"/>
    </xf>
    <xf numFmtId="0" fontId="15" fillId="0" borderId="20" xfId="0" applyFont="1" applyBorder="1" applyAlignment="1">
      <alignment horizontal="left"/>
    </xf>
    <xf numFmtId="0" fontId="15" fillId="0" borderId="21" xfId="0" applyFont="1" applyBorder="1" applyAlignment="1">
      <alignment horizontal="left"/>
    </xf>
    <xf numFmtId="0" fontId="6" fillId="0" borderId="29" xfId="2" applyFont="1" applyBorder="1" applyAlignment="1" applyProtection="1">
      <alignment horizontal="center" vertical="center"/>
      <protection locked="0"/>
    </xf>
    <xf numFmtId="0" fontId="6" fillId="0" borderId="27" xfId="2" applyFont="1" applyBorder="1" applyAlignment="1" applyProtection="1">
      <alignment horizontal="center" vertical="center"/>
      <protection locked="0"/>
    </xf>
    <xf numFmtId="0" fontId="6" fillId="0" borderId="28" xfId="2" applyFont="1" applyBorder="1" applyAlignment="1" applyProtection="1">
      <alignment horizontal="center" vertical="center"/>
      <protection locked="0"/>
    </xf>
    <xf numFmtId="0" fontId="15" fillId="0" borderId="66" xfId="0" applyFont="1" applyBorder="1" applyAlignment="1">
      <alignment horizontal="left"/>
    </xf>
    <xf numFmtId="0" fontId="15" fillId="0" borderId="67" xfId="0" applyFont="1" applyBorder="1" applyAlignment="1">
      <alignment horizontal="left"/>
    </xf>
    <xf numFmtId="0" fontId="15" fillId="0" borderId="64" xfId="0" applyFont="1" applyBorder="1" applyAlignment="1">
      <alignment horizontal="left"/>
    </xf>
    <xf numFmtId="0" fontId="15" fillId="0" borderId="33" xfId="0" applyFont="1" applyBorder="1" applyAlignment="1">
      <alignment horizontal="left"/>
    </xf>
    <xf numFmtId="0" fontId="15" fillId="0" borderId="34" xfId="0" applyFont="1" applyBorder="1" applyAlignment="1">
      <alignment horizontal="left"/>
    </xf>
    <xf numFmtId="0" fontId="15" fillId="0" borderId="35" xfId="0" applyFont="1" applyBorder="1" applyAlignment="1">
      <alignment horizontal="left"/>
    </xf>
    <xf numFmtId="0" fontId="15" fillId="0" borderId="29" xfId="2" applyFont="1" applyBorder="1" applyAlignment="1" applyProtection="1">
      <alignment horizontal="left"/>
      <protection locked="0"/>
    </xf>
    <xf numFmtId="0" fontId="15" fillId="0" borderId="30" xfId="2" applyFont="1" applyBorder="1" applyAlignment="1" applyProtection="1">
      <alignment horizontal="left"/>
      <protection locked="0"/>
    </xf>
    <xf numFmtId="0" fontId="15" fillId="0" borderId="31" xfId="2" applyFont="1" applyBorder="1" applyAlignment="1" applyProtection="1">
      <alignment horizontal="left"/>
      <protection locked="0"/>
    </xf>
    <xf numFmtId="0" fontId="6" fillId="0" borderId="0" xfId="2" applyFont="1" applyAlignment="1" applyProtection="1">
      <alignment horizontal="left" vertical="center"/>
      <protection locked="0"/>
    </xf>
    <xf numFmtId="0" fontId="6" fillId="0" borderId="1" xfId="2" applyFont="1" applyBorder="1" applyAlignment="1" applyProtection="1">
      <alignment horizontal="center" vertical="center"/>
      <protection locked="0"/>
    </xf>
    <xf numFmtId="0" fontId="6" fillId="0" borderId="2" xfId="2" applyFont="1" applyBorder="1" applyAlignment="1" applyProtection="1">
      <alignment horizontal="center" vertical="center"/>
      <protection locked="0"/>
    </xf>
    <xf numFmtId="0" fontId="6" fillId="0" borderId="5" xfId="2" applyFont="1" applyBorder="1" applyAlignment="1" applyProtection="1">
      <alignment horizontal="center" vertical="center"/>
      <protection locked="0"/>
    </xf>
    <xf numFmtId="0" fontId="6" fillId="0" borderId="6" xfId="2" applyFont="1" applyBorder="1" applyAlignment="1" applyProtection="1">
      <alignment horizontal="center" vertical="center"/>
      <protection locked="0"/>
    </xf>
    <xf numFmtId="0" fontId="5" fillId="0" borderId="2" xfId="2" applyFont="1" applyBorder="1" applyAlignment="1" applyProtection="1">
      <alignment horizontal="center" vertical="center"/>
      <protection locked="0"/>
    </xf>
    <xf numFmtId="0" fontId="5" fillId="0" borderId="3" xfId="2" applyFont="1" applyBorder="1" applyAlignment="1" applyProtection="1">
      <alignment horizontal="center" vertical="center"/>
      <protection locked="0"/>
    </xf>
    <xf numFmtId="0" fontId="5" fillId="0" borderId="6" xfId="2" applyFont="1" applyBorder="1" applyAlignment="1" applyProtection="1">
      <alignment horizontal="center" vertical="center"/>
      <protection locked="0"/>
    </xf>
    <xf numFmtId="0" fontId="5" fillId="0" borderId="7" xfId="2" applyFont="1" applyBorder="1" applyAlignment="1" applyProtection="1">
      <alignment horizontal="center" vertical="center"/>
      <protection locked="0"/>
    </xf>
    <xf numFmtId="0" fontId="13" fillId="2" borderId="1" xfId="2" applyFont="1" applyFill="1" applyBorder="1" applyAlignment="1" applyProtection="1">
      <alignment horizontal="center" vertical="center" wrapText="1"/>
      <protection locked="0"/>
    </xf>
    <xf numFmtId="0" fontId="13" fillId="2" borderId="2" xfId="2" applyFont="1" applyFill="1" applyBorder="1" applyAlignment="1" applyProtection="1">
      <alignment horizontal="center" vertical="center"/>
      <protection locked="0"/>
    </xf>
    <xf numFmtId="0" fontId="13" fillId="2" borderId="6" xfId="2" applyFont="1" applyFill="1" applyBorder="1" applyAlignment="1" applyProtection="1">
      <alignment horizontal="center" vertical="center"/>
      <protection locked="0"/>
    </xf>
    <xf numFmtId="164" fontId="10" fillId="0" borderId="0" xfId="2" applyNumberFormat="1" applyFont="1" applyAlignment="1" applyProtection="1">
      <alignment horizontal="left"/>
      <protection locked="0"/>
    </xf>
    <xf numFmtId="166" fontId="10" fillId="0" borderId="0" xfId="2" applyNumberFormat="1" applyFont="1" applyAlignment="1" applyProtection="1">
      <alignment horizontal="left" vertical="center"/>
      <protection locked="0"/>
    </xf>
    <xf numFmtId="14" fontId="12" fillId="0" borderId="0" xfId="2" applyNumberFormat="1" applyFont="1" applyAlignment="1" applyProtection="1">
      <alignment horizontal="left"/>
      <protection locked="0"/>
    </xf>
    <xf numFmtId="0" fontId="12" fillId="0" borderId="0" xfId="2" applyFont="1" applyAlignment="1" applyProtection="1">
      <alignment horizontal="left"/>
      <protection locked="0"/>
    </xf>
    <xf numFmtId="0" fontId="8" fillId="0" borderId="0" xfId="1" applyFont="1" applyAlignment="1" applyProtection="1">
      <alignment horizontal="center" vertical="center" wrapText="1"/>
      <protection locked="0"/>
    </xf>
    <xf numFmtId="0" fontId="9" fillId="0" borderId="0" xfId="2" applyFont="1" applyAlignment="1" applyProtection="1">
      <alignment horizontal="left"/>
      <protection locked="0"/>
    </xf>
    <xf numFmtId="0" fontId="6" fillId="0" borderId="0" xfId="2" applyFont="1" applyAlignment="1" applyProtection="1">
      <alignment horizontal="left" vertical="center" wrapText="1"/>
      <protection locked="0"/>
    </xf>
    <xf numFmtId="0" fontId="5" fillId="0" borderId="57" xfId="2" applyFont="1" applyBorder="1" applyAlignment="1" applyProtection="1">
      <alignment horizontal="center" vertical="center"/>
      <protection locked="0"/>
    </xf>
    <xf numFmtId="0" fontId="5" fillId="0" borderId="59" xfId="2" applyFont="1" applyBorder="1" applyAlignment="1" applyProtection="1">
      <alignment horizontal="center" vertical="center"/>
      <protection locked="0"/>
    </xf>
    <xf numFmtId="0" fontId="13" fillId="2" borderId="2" xfId="2" applyFont="1" applyFill="1" applyBorder="1" applyAlignment="1" applyProtection="1">
      <alignment horizontal="center" vertical="center" wrapText="1"/>
      <protection locked="0"/>
    </xf>
    <xf numFmtId="166" fontId="12" fillId="0" borderId="0" xfId="2" applyNumberFormat="1" applyFont="1" applyAlignment="1" applyProtection="1">
      <alignment horizontal="left" vertical="center"/>
      <protection locked="0"/>
    </xf>
    <xf numFmtId="0" fontId="5" fillId="0" borderId="68" xfId="2" applyFont="1" applyBorder="1" applyAlignment="1" applyProtection="1">
      <alignment horizontal="center" vertical="center"/>
      <protection locked="0"/>
    </xf>
    <xf numFmtId="0" fontId="5" fillId="0" borderId="69" xfId="2" applyFont="1" applyBorder="1" applyAlignment="1" applyProtection="1">
      <alignment horizontal="center" vertical="center"/>
      <protection locked="0"/>
    </xf>
    <xf numFmtId="0" fontId="6" fillId="0" borderId="36" xfId="2" applyFont="1" applyBorder="1" applyAlignment="1">
      <alignment horizontal="center" vertical="center"/>
    </xf>
    <xf numFmtId="0" fontId="6" fillId="0" borderId="37" xfId="2" applyFont="1" applyBorder="1" applyAlignment="1">
      <alignment horizontal="center" vertical="center"/>
    </xf>
    <xf numFmtId="0" fontId="6" fillId="0" borderId="38" xfId="2" applyFont="1" applyBorder="1" applyAlignment="1">
      <alignment horizontal="center" vertical="center"/>
    </xf>
    <xf numFmtId="0" fontId="6" fillId="0" borderId="32" xfId="2" applyFont="1" applyBorder="1" applyAlignment="1">
      <alignment horizontal="center" vertical="center"/>
    </xf>
    <xf numFmtId="0" fontId="6" fillId="0" borderId="39" xfId="2" applyFont="1" applyBorder="1" applyAlignment="1">
      <alignment horizontal="center" vertical="center"/>
    </xf>
    <xf numFmtId="0" fontId="6" fillId="0" borderId="40" xfId="2" applyFont="1" applyBorder="1" applyAlignment="1">
      <alignment horizontal="center" vertical="center"/>
    </xf>
    <xf numFmtId="0" fontId="15" fillId="0" borderId="24" xfId="2" applyFont="1" applyBorder="1" applyAlignment="1">
      <alignment horizontal="left"/>
    </xf>
    <xf numFmtId="0" fontId="15" fillId="0" borderId="15" xfId="2" applyFont="1" applyBorder="1" applyAlignment="1">
      <alignment horizontal="left"/>
    </xf>
    <xf numFmtId="0" fontId="15" fillId="0" borderId="41" xfId="2" applyFont="1" applyBorder="1" applyAlignment="1">
      <alignment horizontal="left"/>
    </xf>
    <xf numFmtId="0" fontId="6" fillId="0" borderId="23" xfId="2" applyFont="1" applyBorder="1" applyAlignment="1">
      <alignment horizontal="center" vertical="center"/>
    </xf>
    <xf numFmtId="0" fontId="6" fillId="0" borderId="24" xfId="2" applyFont="1" applyBorder="1" applyAlignment="1">
      <alignment horizontal="center" vertical="center"/>
    </xf>
    <xf numFmtId="0" fontId="6" fillId="0" borderId="19" xfId="2" applyFont="1" applyBorder="1" applyAlignment="1">
      <alignment horizontal="center" vertical="center"/>
    </xf>
    <xf numFmtId="0" fontId="6" fillId="0" borderId="20" xfId="2" applyFont="1" applyBorder="1" applyAlignment="1">
      <alignment horizontal="center" vertical="center"/>
    </xf>
    <xf numFmtId="0" fontId="15" fillId="0" borderId="20" xfId="2" applyFont="1" applyBorder="1" applyAlignment="1">
      <alignment horizontal="left"/>
    </xf>
    <xf numFmtId="0" fontId="6" fillId="0" borderId="14" xfId="2" applyFont="1" applyBorder="1" applyAlignment="1">
      <alignment horizontal="center" vertical="center"/>
    </xf>
    <xf numFmtId="0" fontId="6" fillId="0" borderId="15" xfId="2" applyFont="1" applyBorder="1" applyAlignment="1">
      <alignment horizontal="center" vertical="center"/>
    </xf>
    <xf numFmtId="0" fontId="15" fillId="0" borderId="33" xfId="2" applyFont="1" applyBorder="1" applyAlignment="1">
      <alignment horizontal="left"/>
    </xf>
    <xf numFmtId="0" fontId="15" fillId="0" borderId="34" xfId="2" applyFont="1" applyBorder="1" applyAlignment="1">
      <alignment horizontal="left"/>
    </xf>
    <xf numFmtId="0" fontId="15" fillId="0" borderId="17" xfId="2" applyFont="1" applyBorder="1" applyAlignment="1">
      <alignment horizontal="left"/>
    </xf>
    <xf numFmtId="0" fontId="6" fillId="0" borderId="27" xfId="2" applyFont="1" applyBorder="1" applyAlignment="1">
      <alignment horizontal="center" vertical="center"/>
    </xf>
    <xf numFmtId="0" fontId="6" fillId="0" borderId="28" xfId="2" applyFont="1" applyBorder="1" applyAlignment="1">
      <alignment horizontal="center" vertical="center"/>
    </xf>
    <xf numFmtId="0" fontId="15" fillId="0" borderId="29" xfId="2" applyFont="1" applyBorder="1" applyAlignment="1">
      <alignment horizontal="left"/>
    </xf>
    <xf numFmtId="0" fontId="15" fillId="0" borderId="30" xfId="2" applyFont="1" applyBorder="1" applyAlignment="1">
      <alignment horizontal="left"/>
    </xf>
    <xf numFmtId="0" fontId="15" fillId="0" borderId="25" xfId="2" applyFont="1" applyBorder="1" applyAlignment="1">
      <alignment horizontal="left"/>
    </xf>
    <xf numFmtId="0" fontId="6" fillId="0" borderId="0" xfId="2" applyFont="1" applyAlignment="1">
      <alignment horizontal="left" vertical="center" wrapText="1"/>
    </xf>
    <xf numFmtId="0" fontId="6" fillId="3" borderId="1" xfId="2" applyFont="1" applyFill="1" applyBorder="1" applyAlignment="1">
      <alignment horizontal="center" vertical="center"/>
    </xf>
    <xf numFmtId="0" fontId="6" fillId="3" borderId="2" xfId="2" applyFont="1" applyFill="1" applyBorder="1" applyAlignment="1">
      <alignment horizontal="center" vertical="center"/>
    </xf>
    <xf numFmtId="0" fontId="6" fillId="3" borderId="5" xfId="2" applyFont="1" applyFill="1" applyBorder="1" applyAlignment="1">
      <alignment horizontal="center" vertical="center"/>
    </xf>
    <xf numFmtId="0" fontId="6" fillId="3" borderId="6" xfId="2" applyFont="1" applyFill="1" applyBorder="1" applyAlignment="1">
      <alignment horizontal="center" vertical="center"/>
    </xf>
    <xf numFmtId="0" fontId="5" fillId="4" borderId="2" xfId="2" applyFont="1" applyFill="1" applyBorder="1" applyAlignment="1">
      <alignment horizontal="center" vertical="center"/>
    </xf>
    <xf numFmtId="0" fontId="5" fillId="4" borderId="6" xfId="2" applyFont="1" applyFill="1" applyBorder="1" applyAlignment="1">
      <alignment horizontal="center" vertical="center"/>
    </xf>
    <xf numFmtId="0" fontId="2" fillId="2" borderId="54" xfId="1" applyFill="1" applyBorder="1" applyAlignment="1">
      <alignment horizontal="center"/>
    </xf>
    <xf numFmtId="0" fontId="2" fillId="2" borderId="44" xfId="1" applyFill="1" applyBorder="1" applyAlignment="1">
      <alignment horizontal="center"/>
    </xf>
    <xf numFmtId="0" fontId="6" fillId="0" borderId="9" xfId="2" applyFont="1" applyBorder="1" applyAlignment="1">
      <alignment horizontal="center" vertical="center"/>
    </xf>
    <xf numFmtId="0" fontId="6" fillId="0" borderId="10" xfId="2" applyFont="1" applyBorder="1" applyAlignment="1">
      <alignment horizontal="center" vertical="center"/>
    </xf>
    <xf numFmtId="0" fontId="15" fillId="0" borderId="10" xfId="2" applyFont="1" applyBorder="1" applyAlignment="1">
      <alignment horizontal="left"/>
    </xf>
  </cellXfs>
  <cellStyles count="3">
    <cellStyle name="Normal" xfId="0" builtinId="0"/>
    <cellStyle name="Normal 2" xfId="1" xr:uid="{E2FE3C3A-A884-4E27-819D-F2E6AD9EF0B3}"/>
    <cellStyle name="Normal 2 2" xfId="2" xr:uid="{E6657E8C-115E-41DF-84D3-7D1F82C23F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ctrlProps/ctrlProp1.xml><?xml version="1.0" encoding="utf-8"?>
<formControlPr xmlns="http://schemas.microsoft.com/office/spreadsheetml/2009/9/main" objectType="CheckBox" fmlaLink="$S$122" lockText="1" noThreeD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CheckBox" fmlaLink="$S$126" lockText="1" noThreeD="1"/>
</file>

<file path=xl/ctrlProps/ctrlProp4.xml><?xml version="1.0" encoding="utf-8"?>
<formControlPr xmlns="http://schemas.microsoft.com/office/spreadsheetml/2009/9/main" objectType="CheckBox" fmlaLink="$S$126" lockText="1" noThreeD="1"/>
</file>

<file path=xl/ctrlProps/ctrlProp5.xml><?xml version="1.0" encoding="utf-8"?>
<formControlPr xmlns="http://schemas.microsoft.com/office/spreadsheetml/2009/9/main" objectType="CheckBox" fmlaLink="$S$126" lockText="1" noThreeD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CheckBox" fmlaLink="$S$126" lockText="1" noThreeD="1"/>
</file>

<file path=xl/ctrlProps/ctrlProp8.xml><?xml version="1.0" encoding="utf-8"?>
<formControlPr xmlns="http://schemas.microsoft.com/office/spreadsheetml/2009/9/main" objectType="CheckBox" fmlaLink="$S$126" lockText="1" noThreeD="1"/>
</file>

<file path=xl/ctrlProps/ctrlProp9.xml><?xml version="1.0" encoding="utf-8"?>
<formControlPr xmlns="http://schemas.microsoft.com/office/spreadsheetml/2009/9/main" objectType="CheckBox" fmlaLink="$S$126" lockText="1" noThreeD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CheckBox" fmlaLink="$S$126" lockText="1" noThreeD="1"/>
</file>

<file path=xl/ctrlProps/ctrlProp12.xml><?xml version="1.0" encoding="utf-8"?>
<formControlPr xmlns="http://schemas.microsoft.com/office/spreadsheetml/2009/9/main" objectType="CheckBox" fmlaLink="$S$126" lockText="1" noThreeD="1"/>
</file>

<file path=xl/ctrlProps/ctrlProp13.xml><?xml version="1.0" encoding="utf-8"?>
<formControlPr xmlns="http://schemas.microsoft.com/office/spreadsheetml/2009/9/main" objectType="CheckBox" fmlaLink="$S$126" lockText="1" noThreeD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CheckBox" fmlaLink="$S$126" lockText="1" noThreeD="1"/>
</file>

<file path=xl/ctrlProps/ctrlProp16.xml><?xml version="1.0" encoding="utf-8"?>
<formControlPr xmlns="http://schemas.microsoft.com/office/spreadsheetml/2009/9/main" objectType="CheckBox" fmlaLink="$S$126" lockText="1" noThreeD="1"/>
</file>

<file path=xl/ctrlProps/ctrlProp17.xml><?xml version="1.0" encoding="utf-8"?>
<formControlPr xmlns="http://schemas.microsoft.com/office/spreadsheetml/2009/9/main" objectType="CheckBox" fmlaLink="$S$126" lockText="1" noThreeD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CheckBox" fmlaLink="$S$126" lockText="1" noThreeD="1"/>
</file>

<file path=xl/ctrlProps/ctrlProp20.xml><?xml version="1.0" encoding="utf-8"?>
<formControlPr xmlns="http://schemas.microsoft.com/office/spreadsheetml/2009/9/main" objectType="CheckBox" fmlaLink="$S$126" lockText="1" noThreeD="1"/>
</file>

<file path=xl/ctrlProps/ctrlProp21.xml><?xml version="1.0" encoding="utf-8"?>
<formControlPr xmlns="http://schemas.microsoft.com/office/spreadsheetml/2009/9/main" objectType="CheckBox" fmlaLink="$S$126" lockText="1" noThreeD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CheckBox" fmlaLink="$S$126" lockText="1" noThreeD="1"/>
</file>

<file path=xl/ctrlProps/ctrlProp24.xml><?xml version="1.0" encoding="utf-8"?>
<formControlPr xmlns="http://schemas.microsoft.com/office/spreadsheetml/2009/9/main" objectType="CheckBox" fmlaLink="$S$126" lockText="1" noThreeD="1"/>
</file>

<file path=xl/ctrlProps/ctrlProp25.xml><?xml version="1.0" encoding="utf-8"?>
<formControlPr xmlns="http://schemas.microsoft.com/office/spreadsheetml/2009/9/main" objectType="CheckBox" fmlaLink="$S$126" lockText="1" noThreeD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CheckBox" fmlaLink="$S$126" lockText="1" noThreeD="1"/>
</file>

<file path=xl/ctrlProps/ctrlProp28.xml><?xml version="1.0" encoding="utf-8"?>
<formControlPr xmlns="http://schemas.microsoft.com/office/spreadsheetml/2009/9/main" objectType="CheckBox" fmlaLink="$S$126" lockText="1" noThreeD="1"/>
</file>

<file path=xl/ctrlProps/ctrlProp29.xml><?xml version="1.0" encoding="utf-8"?>
<formControlPr xmlns="http://schemas.microsoft.com/office/spreadsheetml/2009/9/main" objectType="CheckBox" fmlaLink="$S$126" lockText="1" noThreeD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CheckBox" fmlaLink="$S$126" lockText="1" noThreeD="1"/>
</file>

<file path=xl/ctrlProps/ctrlProp32.xml><?xml version="1.0" encoding="utf-8"?>
<formControlPr xmlns="http://schemas.microsoft.com/office/spreadsheetml/2009/9/main" objectType="CheckBox" fmlaLink="$S$126" lockText="1" noThreeD="1"/>
</file>

<file path=xl/ctrlProps/ctrlProp33.xml><?xml version="1.0" encoding="utf-8"?>
<formControlPr xmlns="http://schemas.microsoft.com/office/spreadsheetml/2009/9/main" objectType="CheckBox" fmlaLink="$S$126" lockText="1" noThreeD="1"/>
</file>

<file path=xl/ctrlProps/ctrlProp34.xml><?xml version="1.0" encoding="utf-8"?>
<formControlPr xmlns="http://schemas.microsoft.com/office/spreadsheetml/2009/9/main" objectType="Button" lockText="1"/>
</file>

<file path=xl/ctrlProps/ctrlProp35.xml><?xml version="1.0" encoding="utf-8"?>
<formControlPr xmlns="http://schemas.microsoft.com/office/spreadsheetml/2009/9/main" objectType="CheckBox" fmlaLink="$S$126" lockText="1" noThreeD="1"/>
</file>

<file path=xl/ctrlProps/ctrlProp36.xml><?xml version="1.0" encoding="utf-8"?>
<formControlPr xmlns="http://schemas.microsoft.com/office/spreadsheetml/2009/9/main" objectType="CheckBox" fmlaLink="$S$126" lockText="1" noThreeD="1"/>
</file>

<file path=xl/ctrlProps/ctrlProp37.xml><?xml version="1.0" encoding="utf-8"?>
<formControlPr xmlns="http://schemas.microsoft.com/office/spreadsheetml/2009/9/main" objectType="CheckBox" fmlaLink="$S$126" lockText="1" noThreeD="1"/>
</file>

<file path=xl/ctrlProps/ctrlProp38.xml><?xml version="1.0" encoding="utf-8"?>
<formControlPr xmlns="http://schemas.microsoft.com/office/spreadsheetml/2009/9/main" objectType="Button" lockText="1"/>
</file>

<file path=xl/ctrlProps/ctrlProp39.xml><?xml version="1.0" encoding="utf-8"?>
<formControlPr xmlns="http://schemas.microsoft.com/office/spreadsheetml/2009/9/main" objectType="CheckBox" fmlaLink="$S$126" lockText="1" noThreeD="1"/>
</file>

<file path=xl/ctrlProps/ctrlProp40.xml><?xml version="1.0" encoding="utf-8"?>
<formControlPr xmlns="http://schemas.microsoft.com/office/spreadsheetml/2009/9/main" objectType="CheckBox" fmlaLink="$S$126" lockText="1" noThreeD="1"/>
</file>

<file path=xl/ctrlProps/ctrlProp41.xml><?xml version="1.0" encoding="utf-8"?>
<formControlPr xmlns="http://schemas.microsoft.com/office/spreadsheetml/2009/9/main" objectType="CheckBox" fmlaLink="$S$126" lockText="1" noThreeD="1"/>
</file>

<file path=xl/ctrlProps/ctrlProp42.xml><?xml version="1.0" encoding="utf-8"?>
<formControlPr xmlns="http://schemas.microsoft.com/office/spreadsheetml/2009/9/main" objectType="Button" lockText="1"/>
</file>

<file path=xl/ctrlProps/ctrlProp43.xml><?xml version="1.0" encoding="utf-8"?>
<formControlPr xmlns="http://schemas.microsoft.com/office/spreadsheetml/2009/9/main" objectType="CheckBox" fmlaLink="$S$126" lockText="1" noThreeD="1"/>
</file>

<file path=xl/ctrlProps/ctrlProp44.xml><?xml version="1.0" encoding="utf-8"?>
<formControlPr xmlns="http://schemas.microsoft.com/office/spreadsheetml/2009/9/main" objectType="CheckBox" fmlaLink="$S$126" lockText="1" noThreeD="1"/>
</file>

<file path=xl/ctrlProps/ctrlProp45.xml><?xml version="1.0" encoding="utf-8"?>
<formControlPr xmlns="http://schemas.microsoft.com/office/spreadsheetml/2009/9/main" objectType="CheckBox" fmlaLink="$S$126" lockText="1" noThreeD="1"/>
</file>

<file path=xl/ctrlProps/ctrlProp46.xml><?xml version="1.0" encoding="utf-8"?>
<formControlPr xmlns="http://schemas.microsoft.com/office/spreadsheetml/2009/9/main" objectType="Button" lockText="1"/>
</file>

<file path=xl/ctrlProps/ctrlProp47.xml><?xml version="1.0" encoding="utf-8"?>
<formControlPr xmlns="http://schemas.microsoft.com/office/spreadsheetml/2009/9/main" objectType="CheckBox" fmlaLink="$S$126" lockText="1" noThreeD="1"/>
</file>

<file path=xl/ctrlProps/ctrlProp48.xml><?xml version="1.0" encoding="utf-8"?>
<formControlPr xmlns="http://schemas.microsoft.com/office/spreadsheetml/2009/9/main" objectType="CheckBox" fmlaLink="$S$126" lockText="1" noThreeD="1"/>
</file>

<file path=xl/ctrlProps/ctrlProp49.xml><?xml version="1.0" encoding="utf-8"?>
<formControlPr xmlns="http://schemas.microsoft.com/office/spreadsheetml/2009/9/main" objectType="CheckBox" fmlaLink="$S$126" lockText="1" noThreeD="1"/>
</file>

<file path=xl/ctrlProps/ctrlProp50.xml><?xml version="1.0" encoding="utf-8"?>
<formControlPr xmlns="http://schemas.microsoft.com/office/spreadsheetml/2009/9/main" objectType="Button" lockText="1"/>
</file>

<file path=xl/ctrlProps/ctrlProp51.xml><?xml version="1.0" encoding="utf-8"?>
<formControlPr xmlns="http://schemas.microsoft.com/office/spreadsheetml/2009/9/main" objectType="CheckBox" fmlaLink="$S$126" lockText="1" noThreeD="1"/>
</file>

<file path=xl/ctrlProps/ctrlProp52.xml><?xml version="1.0" encoding="utf-8"?>
<formControlPr xmlns="http://schemas.microsoft.com/office/spreadsheetml/2009/9/main" objectType="CheckBox" fmlaLink="$S$126" lockText="1" noThreeD="1"/>
</file>

<file path=xl/ctrlProps/ctrlProp53.xml><?xml version="1.0" encoding="utf-8"?>
<formControlPr xmlns="http://schemas.microsoft.com/office/spreadsheetml/2009/9/main" objectType="CheckBox" fmlaLink="$S$126" lockText="1" noThreeD="1"/>
</file>

<file path=xl/ctrlProps/ctrlProp54.xml><?xml version="1.0" encoding="utf-8"?>
<formControlPr xmlns="http://schemas.microsoft.com/office/spreadsheetml/2009/9/main" objectType="Button" lockText="1"/>
</file>

<file path=xl/ctrlProps/ctrlProp55.xml><?xml version="1.0" encoding="utf-8"?>
<formControlPr xmlns="http://schemas.microsoft.com/office/spreadsheetml/2009/9/main" objectType="CheckBox" fmlaLink="$S$126" lockText="1" noThreeD="1"/>
</file>

<file path=xl/ctrlProps/ctrlProp56.xml><?xml version="1.0" encoding="utf-8"?>
<formControlPr xmlns="http://schemas.microsoft.com/office/spreadsheetml/2009/9/main" objectType="CheckBox" fmlaLink="$S$126" lockText="1" noThreeD="1"/>
</file>

<file path=xl/ctrlProps/ctrlProp57.xml><?xml version="1.0" encoding="utf-8"?>
<formControlPr xmlns="http://schemas.microsoft.com/office/spreadsheetml/2009/9/main" objectType="CheckBox" fmlaLink="$S$126" lockText="1" noThreeD="1"/>
</file>

<file path=xl/ctrlProps/ctrlProp58.xml><?xml version="1.0" encoding="utf-8"?>
<formControlPr xmlns="http://schemas.microsoft.com/office/spreadsheetml/2009/9/main" objectType="Button" lockText="1"/>
</file>

<file path=xl/ctrlProps/ctrlProp59.xml><?xml version="1.0" encoding="utf-8"?>
<formControlPr xmlns="http://schemas.microsoft.com/office/spreadsheetml/2009/9/main" objectType="CheckBox" fmlaLink="$S$126" lockText="1" noThreeD="1"/>
</file>

<file path=xl/ctrlProps/ctrlProp60.xml><?xml version="1.0" encoding="utf-8"?>
<formControlPr xmlns="http://schemas.microsoft.com/office/spreadsheetml/2009/9/main" objectType="CheckBox" fmlaLink="$S$126" lockText="1" noThreeD="1"/>
</file>

<file path=xl/ctrlProps/ctrlProp61.xml><?xml version="1.0" encoding="utf-8"?>
<formControlPr xmlns="http://schemas.microsoft.com/office/spreadsheetml/2009/9/main" objectType="CheckBox" fmlaLink="$S$126" lockText="1" noThreeD="1"/>
</file>

<file path=xl/ctrlProps/ctrlProp62.xml><?xml version="1.0" encoding="utf-8"?>
<formControlPr xmlns="http://schemas.microsoft.com/office/spreadsheetml/2009/9/main" objectType="Button" lockText="1"/>
</file>

<file path=xl/ctrlProps/ctrlProp63.xml><?xml version="1.0" encoding="utf-8"?>
<formControlPr xmlns="http://schemas.microsoft.com/office/spreadsheetml/2009/9/main" objectType="CheckBox" fmlaLink="$S$126" lockText="1" noThreeD="1"/>
</file>

<file path=xl/ctrlProps/ctrlProp64.xml><?xml version="1.0" encoding="utf-8"?>
<formControlPr xmlns="http://schemas.microsoft.com/office/spreadsheetml/2009/9/main" objectType="CheckBox" fmlaLink="$S$126" lockText="1" noThreeD="1"/>
</file>

<file path=xl/ctrlProps/ctrlProp65.xml><?xml version="1.0" encoding="utf-8"?>
<formControlPr xmlns="http://schemas.microsoft.com/office/spreadsheetml/2009/9/main" objectType="CheckBox" fmlaLink="$S$126" lockText="1" noThreeD="1"/>
</file>

<file path=xl/ctrlProps/ctrlProp66.xml><?xml version="1.0" encoding="utf-8"?>
<formControlPr xmlns="http://schemas.microsoft.com/office/spreadsheetml/2009/9/main" objectType="Button" lockText="1"/>
</file>

<file path=xl/ctrlProps/ctrlProp67.xml><?xml version="1.0" encoding="utf-8"?>
<formControlPr xmlns="http://schemas.microsoft.com/office/spreadsheetml/2009/9/main" objectType="CheckBox" fmlaLink="$S$126" lockText="1" noThreeD="1"/>
</file>

<file path=xl/ctrlProps/ctrlProp68.xml><?xml version="1.0" encoding="utf-8"?>
<formControlPr xmlns="http://schemas.microsoft.com/office/spreadsheetml/2009/9/main" objectType="CheckBox" fmlaLink="$S$126" lockText="1" noThreeD="1"/>
</file>

<file path=xl/ctrlProps/ctrlProp69.xml><?xml version="1.0" encoding="utf-8"?>
<formControlPr xmlns="http://schemas.microsoft.com/office/spreadsheetml/2009/9/main" objectType="CheckBox" fmlaLink="$S$126" lockText="1" noThreeD="1"/>
</file>

<file path=xl/ctrlProps/ctrlProp70.xml><?xml version="1.0" encoding="utf-8"?>
<formControlPr xmlns="http://schemas.microsoft.com/office/spreadsheetml/2009/9/main" objectType="Button" lockText="1"/>
</file>

<file path=xl/ctrlProps/ctrlProp71.xml><?xml version="1.0" encoding="utf-8"?>
<formControlPr xmlns="http://schemas.microsoft.com/office/spreadsheetml/2009/9/main" objectType="CheckBox" fmlaLink="$S$126" lockText="1" noThreeD="1"/>
</file>

<file path=xl/ctrlProps/ctrlProp72.xml><?xml version="1.0" encoding="utf-8"?>
<formControlPr xmlns="http://schemas.microsoft.com/office/spreadsheetml/2009/9/main" objectType="CheckBox" fmlaLink="$S$126" lockText="1" noThreeD="1"/>
</file>

<file path=xl/ctrlProps/ctrlProp73.xml><?xml version="1.0" encoding="utf-8"?>
<formControlPr xmlns="http://schemas.microsoft.com/office/spreadsheetml/2009/9/main" objectType="CheckBox" fmlaLink="$S$126" lockText="1" noThreeD="1"/>
</file>

<file path=xl/ctrlProps/ctrlProp74.xml><?xml version="1.0" encoding="utf-8"?>
<formControlPr xmlns="http://schemas.microsoft.com/office/spreadsheetml/2009/9/main" objectType="Button" lockText="1"/>
</file>

<file path=xl/ctrlProps/ctrlProp75.xml><?xml version="1.0" encoding="utf-8"?>
<formControlPr xmlns="http://schemas.microsoft.com/office/spreadsheetml/2009/9/main" objectType="CheckBox" fmlaLink="$S$126" lockText="1" noThreeD="1"/>
</file>

<file path=xl/ctrlProps/ctrlProp76.xml><?xml version="1.0" encoding="utf-8"?>
<formControlPr xmlns="http://schemas.microsoft.com/office/spreadsheetml/2009/9/main" objectType="CheckBox" fmlaLink="$S$126" lockText="1" noThreeD="1"/>
</file>

<file path=xl/ctrlProps/ctrlProp77.xml><?xml version="1.0" encoding="utf-8"?>
<formControlPr xmlns="http://schemas.microsoft.com/office/spreadsheetml/2009/9/main" objectType="CheckBox" fmlaLink="$S$126" lockText="1" noThreeD="1"/>
</file>

<file path=xl/ctrlProps/ctrlProp78.xml><?xml version="1.0" encoding="utf-8"?>
<formControlPr xmlns="http://schemas.microsoft.com/office/spreadsheetml/2009/9/main" objectType="Button" lockText="1"/>
</file>

<file path=xl/ctrlProps/ctrlProp79.xml><?xml version="1.0" encoding="utf-8"?>
<formControlPr xmlns="http://schemas.microsoft.com/office/spreadsheetml/2009/9/main" objectType="CheckBox" fmlaLink="$S$126" lockText="1" noThreeD="1"/>
</file>

<file path=xl/ctrlProps/ctrlProp80.xml><?xml version="1.0" encoding="utf-8"?>
<formControlPr xmlns="http://schemas.microsoft.com/office/spreadsheetml/2009/9/main" objectType="CheckBox" fmlaLink="$S$126" lockText="1" noThreeD="1"/>
</file>

<file path=xl/ctrlProps/ctrlProp81.xml><?xml version="1.0" encoding="utf-8"?>
<formControlPr xmlns="http://schemas.microsoft.com/office/spreadsheetml/2009/9/main" objectType="CheckBox" fmlaLink="$S$126" lockText="1" noThreeD="1"/>
</file>

<file path=xl/ctrlProps/ctrlProp82.xml><?xml version="1.0" encoding="utf-8"?>
<formControlPr xmlns="http://schemas.microsoft.com/office/spreadsheetml/2009/9/main" objectType="Button" lockText="1"/>
</file>

<file path=xl/ctrlProps/ctrlProp83.xml><?xml version="1.0" encoding="utf-8"?>
<formControlPr xmlns="http://schemas.microsoft.com/office/spreadsheetml/2009/9/main" objectType="CheckBox" fmlaLink="$S$126" lockText="1" noThreeD="1"/>
</file>

<file path=xl/ctrlProps/ctrlProp84.xml><?xml version="1.0" encoding="utf-8"?>
<formControlPr xmlns="http://schemas.microsoft.com/office/spreadsheetml/2009/9/main" objectType="CheckBox" fmlaLink="$S$126" lockText="1" noThreeD="1"/>
</file>

<file path=xl/ctrlProps/ctrlProp85.xml><?xml version="1.0" encoding="utf-8"?>
<formControlPr xmlns="http://schemas.microsoft.com/office/spreadsheetml/2009/9/main" objectType="CheckBox" fmlaLink="$S$126" lockText="1" noThreeD="1"/>
</file>

<file path=xl/ctrlProps/ctrlProp86.xml><?xml version="1.0" encoding="utf-8"?>
<formControlPr xmlns="http://schemas.microsoft.com/office/spreadsheetml/2009/9/main" objectType="Button" lockText="1"/>
</file>

<file path=xl/ctrlProps/ctrlProp87.xml><?xml version="1.0" encoding="utf-8"?>
<formControlPr xmlns="http://schemas.microsoft.com/office/spreadsheetml/2009/9/main" objectType="CheckBox" fmlaLink="$S$126" lockText="1" noThreeD="1"/>
</file>

<file path=xl/ctrlProps/ctrlProp88.xml><?xml version="1.0" encoding="utf-8"?>
<formControlPr xmlns="http://schemas.microsoft.com/office/spreadsheetml/2009/9/main" objectType="CheckBox" fmlaLink="$S$126" lockText="1" noThreeD="1"/>
</file>

<file path=xl/ctrlProps/ctrlProp89.xml><?xml version="1.0" encoding="utf-8"?>
<formControlPr xmlns="http://schemas.microsoft.com/office/spreadsheetml/2009/9/main" objectType="CheckBox" fmlaLink="$S$126" lockText="1" noThreeD="1"/>
</file>

<file path=xl/ctrlProps/ctrlProp90.xml><?xml version="1.0" encoding="utf-8"?>
<formControlPr xmlns="http://schemas.microsoft.com/office/spreadsheetml/2009/9/main" objectType="Button" lockText="1"/>
</file>

<file path=xl/ctrlProps/ctrlProp91.xml><?xml version="1.0" encoding="utf-8"?>
<formControlPr xmlns="http://schemas.microsoft.com/office/spreadsheetml/2009/9/main" objectType="CheckBox" fmlaLink="$S$126" lockText="1" noThreeD="1"/>
</file>

<file path=xl/ctrlProps/ctrlProp92.xml><?xml version="1.0" encoding="utf-8"?>
<formControlPr xmlns="http://schemas.microsoft.com/office/spreadsheetml/2009/9/main" objectType="CheckBox" fmlaLink="$S$126" lockText="1" noThreeD="1"/>
</file>

<file path=xl/ctrlProps/ctrlProp93.xml><?xml version="1.0" encoding="utf-8"?>
<formControlPr xmlns="http://schemas.microsoft.com/office/spreadsheetml/2009/9/main" objectType="CheckBox" fmlaLink="$S$126" lockText="1" noThreeD="1"/>
</file>

<file path=xl/ctrlProps/ctrlProp94.xml><?xml version="1.0" encoding="utf-8"?>
<formControlPr xmlns="http://schemas.microsoft.com/office/spreadsheetml/2009/9/main" objectType="Button" lockText="1"/>
</file>

<file path=xl/ctrlProps/ctrlProp95.xml><?xml version="1.0" encoding="utf-8"?>
<formControlPr xmlns="http://schemas.microsoft.com/office/spreadsheetml/2009/9/main" objectType="CheckBox" fmlaLink="$S$126" lockText="1" noThreeD="1"/>
</file>

<file path=xl/ctrlProps/ctrlProp96.xml><?xml version="1.0" encoding="utf-8"?>
<formControlPr xmlns="http://schemas.microsoft.com/office/spreadsheetml/2009/9/main" objectType="CheckBox" fmlaLink="$S$126" lockText="1" noThreeD="1"/>
</file>

<file path=xl/ctrlProps/ctrlProp97.xml><?xml version="1.0" encoding="utf-8"?>
<formControlPr xmlns="http://schemas.microsoft.com/office/spreadsheetml/2009/9/main" objectType="CheckBox" fmlaLink="$S$126" lockText="1" noThreeD="1"/>
</file>

<file path=xl/ctrlProps/ctrlProp98.xml><?xml version="1.0" encoding="utf-8"?>
<formControlPr xmlns="http://schemas.microsoft.com/office/spreadsheetml/2009/9/main" objectType="Button" lockText="1"/>
</file>

<file path=xl/ctrlProps/ctrlProp99.xml><?xml version="1.0" encoding="utf-8"?>
<formControlPr xmlns="http://schemas.microsoft.com/office/spreadsheetml/2009/9/main" objectType="CheckBox" fmlaLink="$S$126" lockText="1" noThreeD="1"/>
</file>

<file path=xl/ctrlProps/ctrlProp100.xml><?xml version="1.0" encoding="utf-8"?>
<formControlPr xmlns="http://schemas.microsoft.com/office/spreadsheetml/2009/9/main" objectType="CheckBox" fmlaLink="$S$126" lockText="1" noThreeD="1"/>
</file>

<file path=xl/ctrlProps/ctrlProp101.xml><?xml version="1.0" encoding="utf-8"?>
<formControlPr xmlns="http://schemas.microsoft.com/office/spreadsheetml/2009/9/main" objectType="CheckBox" fmlaLink="$S$126" lockText="1" noThreeD="1"/>
</file>

<file path=xl/ctrlProps/ctrlProp102.xml><?xml version="1.0" encoding="utf-8"?>
<formControlPr xmlns="http://schemas.microsoft.com/office/spreadsheetml/2009/9/main" objectType="Button" lockText="1"/>
</file>

<file path=xl/ctrlProps/ctrlProp103.xml><?xml version="1.0" encoding="utf-8"?>
<formControlPr xmlns="http://schemas.microsoft.com/office/spreadsheetml/2009/9/main" objectType="CheckBox" fmlaLink="$S$126" lockText="1" noThreeD="1"/>
</file>

<file path=xl/ctrlProps/ctrlProp104.xml><?xml version="1.0" encoding="utf-8"?>
<formControlPr xmlns="http://schemas.microsoft.com/office/spreadsheetml/2009/9/main" objectType="CheckBox" fmlaLink="$S$126" lockText="1" noThreeD="1"/>
</file>

<file path=xl/ctrlProps/ctrlProp105.xml><?xml version="1.0" encoding="utf-8"?>
<formControlPr xmlns="http://schemas.microsoft.com/office/spreadsheetml/2009/9/main" objectType="CheckBox" fmlaLink="$S$126" lockText="1" noThreeD="1"/>
</file>

<file path=xl/ctrlProps/ctrlProp106.xml><?xml version="1.0" encoding="utf-8"?>
<formControlPr xmlns="http://schemas.microsoft.com/office/spreadsheetml/2009/9/main" objectType="Button" lockText="1"/>
</file>

<file path=xl/ctrlProps/ctrlProp107.xml><?xml version="1.0" encoding="utf-8"?>
<formControlPr xmlns="http://schemas.microsoft.com/office/spreadsheetml/2009/9/main" objectType="CheckBox" fmlaLink="$S$126" lockText="1" noThreeD="1"/>
</file>

<file path=xl/ctrlProps/ctrlProp108.xml><?xml version="1.0" encoding="utf-8"?>
<formControlPr xmlns="http://schemas.microsoft.com/office/spreadsheetml/2009/9/main" objectType="CheckBox" fmlaLink="$S$126" lockText="1" noThreeD="1"/>
</file>

<file path=xl/ctrlProps/ctrlProp109.xml><?xml version="1.0" encoding="utf-8"?>
<formControlPr xmlns="http://schemas.microsoft.com/office/spreadsheetml/2009/9/main" objectType="CheckBox" fmlaLink="$S$126" lockText="1" noThreeD="1"/>
</file>

<file path=xl/ctrlProps/ctrlProp110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116</xdr:row>
          <xdr:rowOff>9525</xdr:rowOff>
        </xdr:from>
        <xdr:to>
          <xdr:col>17</xdr:col>
          <xdr:colOff>257175</xdr:colOff>
          <xdr:row>117</xdr:row>
          <xdr:rowOff>85725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47625</xdr:rowOff>
        </xdr:from>
        <xdr:to>
          <xdr:col>2</xdr:col>
          <xdr:colOff>533400</xdr:colOff>
          <xdr:row>126</xdr:row>
          <xdr:rowOff>123825</xdr:rowOff>
        </xdr:to>
        <xdr:sp macro="" textlink="">
          <xdr:nvSpPr>
            <xdr:cNvPr id="2050" name="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190500</xdr:colOff>
          <xdr:row>121</xdr:row>
          <xdr:rowOff>85725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190500</xdr:colOff>
          <xdr:row>121</xdr:row>
          <xdr:rowOff>85725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190500</xdr:colOff>
          <xdr:row>121</xdr:row>
          <xdr:rowOff>85725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3076" name="Button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2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4100" name="Button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5121" name="Check Box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4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5122" name="Check Box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4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5123" name="Check Box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4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5124" name="Button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4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6145" name="Check Box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5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6146" name="Check Box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5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6147" name="Check Box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5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6148" name="Button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5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7169" name="Check Box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6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7170" name="Check Box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6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7171" name="Check Box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6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7172" name="Button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06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8193" name="Check Box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7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8194" name="Check Box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7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8195" name="Check Box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7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8196" name="Button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7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228600</xdr:colOff>
          <xdr:row>121</xdr:row>
          <xdr:rowOff>85725</xdr:rowOff>
        </xdr:to>
        <xdr:sp macro="" textlink="">
          <xdr:nvSpPr>
            <xdr:cNvPr id="9217" name="Check Box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8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228600</xdr:colOff>
          <xdr:row>121</xdr:row>
          <xdr:rowOff>85725</xdr:rowOff>
        </xdr:to>
        <xdr:sp macro="" textlink="">
          <xdr:nvSpPr>
            <xdr:cNvPr id="9218" name="Check Box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8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228600</xdr:colOff>
          <xdr:row>121</xdr:row>
          <xdr:rowOff>85725</xdr:rowOff>
        </xdr:to>
        <xdr:sp macro="" textlink="">
          <xdr:nvSpPr>
            <xdr:cNvPr id="9219" name="Check Box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8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8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200025</xdr:colOff>
          <xdr:row>121</xdr:row>
          <xdr:rowOff>85725</xdr:rowOff>
        </xdr:to>
        <xdr:sp macro="" textlink="">
          <xdr:nvSpPr>
            <xdr:cNvPr id="10241" name="Check Box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9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200025</xdr:colOff>
          <xdr:row>121</xdr:row>
          <xdr:rowOff>85725</xdr:rowOff>
        </xdr:to>
        <xdr:sp macro="" textlink="">
          <xdr:nvSpPr>
            <xdr:cNvPr id="10242" name="Check Box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9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200025</xdr:colOff>
          <xdr:row>121</xdr:row>
          <xdr:rowOff>85725</xdr:rowOff>
        </xdr:to>
        <xdr:sp macro="" textlink="">
          <xdr:nvSpPr>
            <xdr:cNvPr id="10243" name="Check Box 3" hidden="1">
              <a:extLst>
                <a:ext uri="{63B3BB69-23CF-44E3-9099-C40C66FF867C}">
                  <a14:compatExt spid="_x0000_s10243"/>
                </a:ext>
                <a:ext uri="{FF2B5EF4-FFF2-40B4-BE49-F238E27FC236}">
                  <a16:creationId xmlns:a16="http://schemas.microsoft.com/office/drawing/2014/main" id="{00000000-0008-0000-0900-00000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10244" name="Button 4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00000000-0008-0000-0900-00000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200025</xdr:colOff>
          <xdr:row>121</xdr:row>
          <xdr:rowOff>85725</xdr:rowOff>
        </xdr:to>
        <xdr:sp macro="" textlink="">
          <xdr:nvSpPr>
            <xdr:cNvPr id="11265" name="Check Box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A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200025</xdr:colOff>
          <xdr:row>121</xdr:row>
          <xdr:rowOff>85725</xdr:rowOff>
        </xdr:to>
        <xdr:sp macro="" textlink="">
          <xdr:nvSpPr>
            <xdr:cNvPr id="11266" name="Check Box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A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200025</xdr:colOff>
          <xdr:row>121</xdr:row>
          <xdr:rowOff>85725</xdr:rowOff>
        </xdr:to>
        <xdr:sp macro="" textlink="">
          <xdr:nvSpPr>
            <xdr:cNvPr id="11267" name="Check Box 3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00000000-0008-0000-0A00-00000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11268" name="Button 4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A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200025</xdr:colOff>
          <xdr:row>121</xdr:row>
          <xdr:rowOff>85725</xdr:rowOff>
        </xdr:to>
        <xdr:sp macro="" textlink="">
          <xdr:nvSpPr>
            <xdr:cNvPr id="12289" name="Check Box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B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200025</xdr:colOff>
          <xdr:row>121</xdr:row>
          <xdr:rowOff>85725</xdr:rowOff>
        </xdr:to>
        <xdr:sp macro="" textlink="">
          <xdr:nvSpPr>
            <xdr:cNvPr id="12290" name="Check Box 2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00000000-0008-0000-0B00-00000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200025</xdr:colOff>
          <xdr:row>121</xdr:row>
          <xdr:rowOff>85725</xdr:rowOff>
        </xdr:to>
        <xdr:sp macro="" textlink="">
          <xdr:nvSpPr>
            <xdr:cNvPr id="12291" name="Check Box 3" hidden="1">
              <a:extLst>
                <a:ext uri="{63B3BB69-23CF-44E3-9099-C40C66FF867C}">
                  <a14:compatExt spid="_x0000_s12291"/>
                </a:ext>
                <a:ext uri="{FF2B5EF4-FFF2-40B4-BE49-F238E27FC236}">
                  <a16:creationId xmlns:a16="http://schemas.microsoft.com/office/drawing/2014/main" id="{00000000-0008-0000-0B00-00000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12292" name="Button 4" hidden="1">
              <a:extLst>
                <a:ext uri="{63B3BB69-23CF-44E3-9099-C40C66FF867C}">
                  <a14:compatExt spid="_x0000_s12292"/>
                </a:ext>
                <a:ext uri="{FF2B5EF4-FFF2-40B4-BE49-F238E27FC236}">
                  <a16:creationId xmlns:a16="http://schemas.microsoft.com/office/drawing/2014/main" id="{00000000-0008-0000-0B00-00000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209550</xdr:colOff>
          <xdr:row>121</xdr:row>
          <xdr:rowOff>85725</xdr:rowOff>
        </xdr:to>
        <xdr:sp macro="" textlink="">
          <xdr:nvSpPr>
            <xdr:cNvPr id="13313" name="Check Box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C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209550</xdr:colOff>
          <xdr:row>121</xdr:row>
          <xdr:rowOff>85725</xdr:rowOff>
        </xdr:to>
        <xdr:sp macro="" textlink="">
          <xdr:nvSpPr>
            <xdr:cNvPr id="13314" name="Check Box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C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209550</xdr:colOff>
          <xdr:row>121</xdr:row>
          <xdr:rowOff>85725</xdr:rowOff>
        </xdr:to>
        <xdr:sp macro="" textlink="">
          <xdr:nvSpPr>
            <xdr:cNvPr id="13315" name="Check Box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C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13316" name="Button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C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14337" name="Check Box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D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14338" name="Check Box 2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0D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14339" name="Check Box 3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00000000-0008-0000-0D00-00000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14340" name="Button 4" hidden="1">
              <a:extLst>
                <a:ext uri="{63B3BB69-23CF-44E3-9099-C40C66FF867C}">
                  <a14:compatExt spid="_x0000_s14340"/>
                </a:ext>
                <a:ext uri="{FF2B5EF4-FFF2-40B4-BE49-F238E27FC236}">
                  <a16:creationId xmlns:a16="http://schemas.microsoft.com/office/drawing/2014/main" id="{00000000-0008-0000-0D00-00000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15361" name="Check Box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E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15362" name="Check Box 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E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15363" name="Check Box 3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00000000-0008-0000-0E00-00000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15364" name="Button 4" hidden="1">
              <a:extLst>
                <a:ext uri="{63B3BB69-23CF-44E3-9099-C40C66FF867C}">
                  <a14:compatExt spid="_x0000_s15364"/>
                </a:ext>
                <a:ext uri="{FF2B5EF4-FFF2-40B4-BE49-F238E27FC236}">
                  <a16:creationId xmlns:a16="http://schemas.microsoft.com/office/drawing/2014/main" id="{00000000-0008-0000-0E00-00000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209550</xdr:colOff>
          <xdr:row>121</xdr:row>
          <xdr:rowOff>85725</xdr:rowOff>
        </xdr:to>
        <xdr:sp macro="" textlink="">
          <xdr:nvSpPr>
            <xdr:cNvPr id="16385" name="Check Box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F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209550</xdr:colOff>
          <xdr:row>121</xdr:row>
          <xdr:rowOff>85725</xdr:rowOff>
        </xdr:to>
        <xdr:sp macro="" textlink="">
          <xdr:nvSpPr>
            <xdr:cNvPr id="16386" name="Check Box 2" hidden="1">
              <a:extLst>
                <a:ext uri="{63B3BB69-23CF-44E3-9099-C40C66FF867C}">
                  <a14:compatExt spid="_x0000_s16386"/>
                </a:ext>
                <a:ext uri="{FF2B5EF4-FFF2-40B4-BE49-F238E27FC236}">
                  <a16:creationId xmlns:a16="http://schemas.microsoft.com/office/drawing/2014/main" id="{00000000-0008-0000-0F00-00000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209550</xdr:colOff>
          <xdr:row>121</xdr:row>
          <xdr:rowOff>85725</xdr:rowOff>
        </xdr:to>
        <xdr:sp macro="" textlink="">
          <xdr:nvSpPr>
            <xdr:cNvPr id="16387" name="Check Box 3" hidden="1">
              <a:extLst>
                <a:ext uri="{63B3BB69-23CF-44E3-9099-C40C66FF867C}">
                  <a14:compatExt spid="_x0000_s16387"/>
                </a:ext>
                <a:ext uri="{FF2B5EF4-FFF2-40B4-BE49-F238E27FC236}">
                  <a16:creationId xmlns:a16="http://schemas.microsoft.com/office/drawing/2014/main" id="{00000000-0008-0000-0F00-00000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16388" name="Button 4" hidden="1">
              <a:extLst>
                <a:ext uri="{63B3BB69-23CF-44E3-9099-C40C66FF867C}">
                  <a14:compatExt spid="_x0000_s16388"/>
                </a:ext>
                <a:ext uri="{FF2B5EF4-FFF2-40B4-BE49-F238E27FC236}">
                  <a16:creationId xmlns:a16="http://schemas.microsoft.com/office/drawing/2014/main" id="{00000000-0008-0000-0F00-00000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209550</xdr:colOff>
          <xdr:row>121</xdr:row>
          <xdr:rowOff>85725</xdr:rowOff>
        </xdr:to>
        <xdr:sp macro="" textlink="">
          <xdr:nvSpPr>
            <xdr:cNvPr id="17409" name="Check Box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10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209550</xdr:colOff>
          <xdr:row>121</xdr:row>
          <xdr:rowOff>85725</xdr:rowOff>
        </xdr:to>
        <xdr:sp macro="" textlink="">
          <xdr:nvSpPr>
            <xdr:cNvPr id="17410" name="Check Box 2" hidden="1">
              <a:extLst>
                <a:ext uri="{63B3BB69-23CF-44E3-9099-C40C66FF867C}">
                  <a14:compatExt spid="_x0000_s17410"/>
                </a:ext>
                <a:ext uri="{FF2B5EF4-FFF2-40B4-BE49-F238E27FC236}">
                  <a16:creationId xmlns:a16="http://schemas.microsoft.com/office/drawing/2014/main" id="{00000000-0008-0000-1000-000002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209550</xdr:colOff>
          <xdr:row>121</xdr:row>
          <xdr:rowOff>85725</xdr:rowOff>
        </xdr:to>
        <xdr:sp macro="" textlink="">
          <xdr:nvSpPr>
            <xdr:cNvPr id="17411" name="Check Box 3" hidden="1">
              <a:extLst>
                <a:ext uri="{63B3BB69-23CF-44E3-9099-C40C66FF867C}">
                  <a14:compatExt spid="_x0000_s17411"/>
                </a:ext>
                <a:ext uri="{FF2B5EF4-FFF2-40B4-BE49-F238E27FC236}">
                  <a16:creationId xmlns:a16="http://schemas.microsoft.com/office/drawing/2014/main" id="{00000000-0008-0000-1000-000003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17412" name="Button 4" hidden="1">
              <a:extLst>
                <a:ext uri="{63B3BB69-23CF-44E3-9099-C40C66FF867C}">
                  <a14:compatExt spid="_x0000_s17412"/>
                </a:ext>
                <a:ext uri="{FF2B5EF4-FFF2-40B4-BE49-F238E27FC236}">
                  <a16:creationId xmlns:a16="http://schemas.microsoft.com/office/drawing/2014/main" id="{00000000-0008-0000-1000-000004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1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209550</xdr:colOff>
          <xdr:row>121</xdr:row>
          <xdr:rowOff>85725</xdr:rowOff>
        </xdr:to>
        <xdr:sp macro="" textlink="">
          <xdr:nvSpPr>
            <xdr:cNvPr id="18433" name="Check Box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11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209550</xdr:colOff>
          <xdr:row>121</xdr:row>
          <xdr:rowOff>85725</xdr:rowOff>
        </xdr:to>
        <xdr:sp macro="" textlink="">
          <xdr:nvSpPr>
            <xdr:cNvPr id="18434" name="Check Box 2" hidden="1">
              <a:extLst>
                <a:ext uri="{63B3BB69-23CF-44E3-9099-C40C66FF867C}">
                  <a14:compatExt spid="_x0000_s18434"/>
                </a:ext>
                <a:ext uri="{FF2B5EF4-FFF2-40B4-BE49-F238E27FC236}">
                  <a16:creationId xmlns:a16="http://schemas.microsoft.com/office/drawing/2014/main" id="{00000000-0008-0000-1100-00000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209550</xdr:colOff>
          <xdr:row>121</xdr:row>
          <xdr:rowOff>85725</xdr:rowOff>
        </xdr:to>
        <xdr:sp macro="" textlink="">
          <xdr:nvSpPr>
            <xdr:cNvPr id="18435" name="Check Box 3" hidden="1">
              <a:extLst>
                <a:ext uri="{63B3BB69-23CF-44E3-9099-C40C66FF867C}">
                  <a14:compatExt spid="_x0000_s18435"/>
                </a:ext>
                <a:ext uri="{FF2B5EF4-FFF2-40B4-BE49-F238E27FC236}">
                  <a16:creationId xmlns:a16="http://schemas.microsoft.com/office/drawing/2014/main" id="{00000000-0008-0000-1100-00000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18436" name="Button 4" hidden="1">
              <a:extLst>
                <a:ext uri="{63B3BB69-23CF-44E3-9099-C40C66FF867C}">
                  <a14:compatExt spid="_x0000_s18436"/>
                </a:ext>
                <a:ext uri="{FF2B5EF4-FFF2-40B4-BE49-F238E27FC236}">
                  <a16:creationId xmlns:a16="http://schemas.microsoft.com/office/drawing/2014/main" id="{00000000-0008-0000-1100-000004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1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152400</xdr:colOff>
          <xdr:row>121</xdr:row>
          <xdr:rowOff>85725</xdr:rowOff>
        </xdr:to>
        <xdr:sp macro="" textlink="">
          <xdr:nvSpPr>
            <xdr:cNvPr id="19457" name="Check Box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12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152400</xdr:colOff>
          <xdr:row>121</xdr:row>
          <xdr:rowOff>85725</xdr:rowOff>
        </xdr:to>
        <xdr:sp macro="" textlink="">
          <xdr:nvSpPr>
            <xdr:cNvPr id="19458" name="Check Box 2" hidden="1">
              <a:extLst>
                <a:ext uri="{63B3BB69-23CF-44E3-9099-C40C66FF867C}">
                  <a14:compatExt spid="_x0000_s19458"/>
                </a:ext>
                <a:ext uri="{FF2B5EF4-FFF2-40B4-BE49-F238E27FC236}">
                  <a16:creationId xmlns:a16="http://schemas.microsoft.com/office/drawing/2014/main" id="{00000000-0008-0000-1200-00000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152400</xdr:colOff>
          <xdr:row>121</xdr:row>
          <xdr:rowOff>85725</xdr:rowOff>
        </xdr:to>
        <xdr:sp macro="" textlink="">
          <xdr:nvSpPr>
            <xdr:cNvPr id="19459" name="Check Box 3" hidden="1">
              <a:extLst>
                <a:ext uri="{63B3BB69-23CF-44E3-9099-C40C66FF867C}">
                  <a14:compatExt spid="_x0000_s19459"/>
                </a:ext>
                <a:ext uri="{FF2B5EF4-FFF2-40B4-BE49-F238E27FC236}">
                  <a16:creationId xmlns:a16="http://schemas.microsoft.com/office/drawing/2014/main" id="{00000000-0008-0000-1200-00000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19460" name="Button 4" hidden="1">
              <a:extLst>
                <a:ext uri="{63B3BB69-23CF-44E3-9099-C40C66FF867C}">
                  <a14:compatExt spid="_x0000_s19460"/>
                </a:ext>
                <a:ext uri="{FF2B5EF4-FFF2-40B4-BE49-F238E27FC236}">
                  <a16:creationId xmlns:a16="http://schemas.microsoft.com/office/drawing/2014/main" id="{00000000-0008-0000-1200-00000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1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20481" name="Check Box 1" hidden="1">
              <a:extLst>
                <a:ext uri="{63B3BB69-23CF-44E3-9099-C40C66FF867C}">
                  <a14:compatExt spid="_x0000_s20481"/>
                </a:ext>
                <a:ext uri="{FF2B5EF4-FFF2-40B4-BE49-F238E27FC236}">
                  <a16:creationId xmlns:a16="http://schemas.microsoft.com/office/drawing/2014/main" id="{00000000-0008-0000-1300-000001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20482" name="Check Box 2" hidden="1">
              <a:extLst>
                <a:ext uri="{63B3BB69-23CF-44E3-9099-C40C66FF867C}">
                  <a14:compatExt spid="_x0000_s20482"/>
                </a:ext>
                <a:ext uri="{FF2B5EF4-FFF2-40B4-BE49-F238E27FC236}">
                  <a16:creationId xmlns:a16="http://schemas.microsoft.com/office/drawing/2014/main" id="{00000000-0008-0000-1300-000002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20483" name="Check Box 3" hidden="1">
              <a:extLst>
                <a:ext uri="{63B3BB69-23CF-44E3-9099-C40C66FF867C}">
                  <a14:compatExt spid="_x0000_s20483"/>
                </a:ext>
                <a:ext uri="{FF2B5EF4-FFF2-40B4-BE49-F238E27FC236}">
                  <a16:creationId xmlns:a16="http://schemas.microsoft.com/office/drawing/2014/main" id="{00000000-0008-0000-1300-000003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20484" name="Button 4" hidden="1">
              <a:extLst>
                <a:ext uri="{63B3BB69-23CF-44E3-9099-C40C66FF867C}">
                  <a14:compatExt spid="_x0000_s20484"/>
                </a:ext>
                <a:ext uri="{FF2B5EF4-FFF2-40B4-BE49-F238E27FC236}">
                  <a16:creationId xmlns:a16="http://schemas.microsoft.com/office/drawing/2014/main" id="{00000000-0008-0000-1300-000004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2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180975</xdr:colOff>
          <xdr:row>121</xdr:row>
          <xdr:rowOff>85725</xdr:rowOff>
        </xdr:to>
        <xdr:sp macro="" textlink="">
          <xdr:nvSpPr>
            <xdr:cNvPr id="21505" name="Check Box 1" hidden="1">
              <a:extLst>
                <a:ext uri="{63B3BB69-23CF-44E3-9099-C40C66FF867C}">
                  <a14:compatExt spid="_x0000_s21505"/>
                </a:ext>
                <a:ext uri="{FF2B5EF4-FFF2-40B4-BE49-F238E27FC236}">
                  <a16:creationId xmlns:a16="http://schemas.microsoft.com/office/drawing/2014/main" id="{00000000-0008-0000-1400-000001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180975</xdr:colOff>
          <xdr:row>121</xdr:row>
          <xdr:rowOff>85725</xdr:rowOff>
        </xdr:to>
        <xdr:sp macro="" textlink="">
          <xdr:nvSpPr>
            <xdr:cNvPr id="21506" name="Check Box 2" hidden="1">
              <a:extLst>
                <a:ext uri="{63B3BB69-23CF-44E3-9099-C40C66FF867C}">
                  <a14:compatExt spid="_x0000_s21506"/>
                </a:ext>
                <a:ext uri="{FF2B5EF4-FFF2-40B4-BE49-F238E27FC236}">
                  <a16:creationId xmlns:a16="http://schemas.microsoft.com/office/drawing/2014/main" id="{00000000-0008-0000-1400-000002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180975</xdr:colOff>
          <xdr:row>121</xdr:row>
          <xdr:rowOff>85725</xdr:rowOff>
        </xdr:to>
        <xdr:sp macro="" textlink="">
          <xdr:nvSpPr>
            <xdr:cNvPr id="21507" name="Check Box 3" hidden="1">
              <a:extLst>
                <a:ext uri="{63B3BB69-23CF-44E3-9099-C40C66FF867C}">
                  <a14:compatExt spid="_x0000_s21507"/>
                </a:ext>
                <a:ext uri="{FF2B5EF4-FFF2-40B4-BE49-F238E27FC236}">
                  <a16:creationId xmlns:a16="http://schemas.microsoft.com/office/drawing/2014/main" id="{00000000-0008-0000-1400-000003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21508" name="Button 4" hidden="1">
              <a:extLst>
                <a:ext uri="{63B3BB69-23CF-44E3-9099-C40C66FF867C}">
                  <a14:compatExt spid="_x0000_s21508"/>
                </a:ext>
                <a:ext uri="{FF2B5EF4-FFF2-40B4-BE49-F238E27FC236}">
                  <a16:creationId xmlns:a16="http://schemas.microsoft.com/office/drawing/2014/main" id="{00000000-0008-0000-1400-000004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2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171450</xdr:colOff>
          <xdr:row>121</xdr:row>
          <xdr:rowOff>85725</xdr:rowOff>
        </xdr:to>
        <xdr:sp macro="" textlink="">
          <xdr:nvSpPr>
            <xdr:cNvPr id="22529" name="Check Box 1" hidden="1">
              <a:extLst>
                <a:ext uri="{63B3BB69-23CF-44E3-9099-C40C66FF867C}">
                  <a14:compatExt spid="_x0000_s22529"/>
                </a:ext>
                <a:ext uri="{FF2B5EF4-FFF2-40B4-BE49-F238E27FC236}">
                  <a16:creationId xmlns:a16="http://schemas.microsoft.com/office/drawing/2014/main" id="{00000000-0008-0000-1500-000001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171450</xdr:colOff>
          <xdr:row>121</xdr:row>
          <xdr:rowOff>85725</xdr:rowOff>
        </xdr:to>
        <xdr:sp macro="" textlink="">
          <xdr:nvSpPr>
            <xdr:cNvPr id="22530" name="Check Box 2" hidden="1">
              <a:extLst>
                <a:ext uri="{63B3BB69-23CF-44E3-9099-C40C66FF867C}">
                  <a14:compatExt spid="_x0000_s22530"/>
                </a:ext>
                <a:ext uri="{FF2B5EF4-FFF2-40B4-BE49-F238E27FC236}">
                  <a16:creationId xmlns:a16="http://schemas.microsoft.com/office/drawing/2014/main" id="{00000000-0008-0000-1500-000002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171450</xdr:colOff>
          <xdr:row>121</xdr:row>
          <xdr:rowOff>85725</xdr:rowOff>
        </xdr:to>
        <xdr:sp macro="" textlink="">
          <xdr:nvSpPr>
            <xdr:cNvPr id="22531" name="Check Box 3" hidden="1">
              <a:extLst>
                <a:ext uri="{63B3BB69-23CF-44E3-9099-C40C66FF867C}">
                  <a14:compatExt spid="_x0000_s22531"/>
                </a:ext>
                <a:ext uri="{FF2B5EF4-FFF2-40B4-BE49-F238E27FC236}">
                  <a16:creationId xmlns:a16="http://schemas.microsoft.com/office/drawing/2014/main" id="{00000000-0008-0000-1500-000003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22532" name="Button 4" hidden="1">
              <a:extLst>
                <a:ext uri="{63B3BB69-23CF-44E3-9099-C40C66FF867C}">
                  <a14:compatExt spid="_x0000_s22532"/>
                </a:ext>
                <a:ext uri="{FF2B5EF4-FFF2-40B4-BE49-F238E27FC236}">
                  <a16:creationId xmlns:a16="http://schemas.microsoft.com/office/drawing/2014/main" id="{00000000-0008-0000-1500-000004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2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152400</xdr:colOff>
          <xdr:row>121</xdr:row>
          <xdr:rowOff>85725</xdr:rowOff>
        </xdr:to>
        <xdr:sp macro="" textlink="">
          <xdr:nvSpPr>
            <xdr:cNvPr id="23553" name="Check Box 1" hidden="1">
              <a:extLst>
                <a:ext uri="{63B3BB69-23CF-44E3-9099-C40C66FF867C}">
                  <a14:compatExt spid="_x0000_s23553"/>
                </a:ext>
                <a:ext uri="{FF2B5EF4-FFF2-40B4-BE49-F238E27FC236}">
                  <a16:creationId xmlns:a16="http://schemas.microsoft.com/office/drawing/2014/main" id="{00000000-0008-0000-1600-00000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152400</xdr:colOff>
          <xdr:row>121</xdr:row>
          <xdr:rowOff>85725</xdr:rowOff>
        </xdr:to>
        <xdr:sp macro="" textlink="">
          <xdr:nvSpPr>
            <xdr:cNvPr id="23554" name="Check Box 2" hidden="1">
              <a:extLst>
                <a:ext uri="{63B3BB69-23CF-44E3-9099-C40C66FF867C}">
                  <a14:compatExt spid="_x0000_s23554"/>
                </a:ext>
                <a:ext uri="{FF2B5EF4-FFF2-40B4-BE49-F238E27FC236}">
                  <a16:creationId xmlns:a16="http://schemas.microsoft.com/office/drawing/2014/main" id="{00000000-0008-0000-1600-00000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152400</xdr:colOff>
          <xdr:row>121</xdr:row>
          <xdr:rowOff>85725</xdr:rowOff>
        </xdr:to>
        <xdr:sp macro="" textlink="">
          <xdr:nvSpPr>
            <xdr:cNvPr id="23555" name="Check Box 3" hidden="1">
              <a:extLst>
                <a:ext uri="{63B3BB69-23CF-44E3-9099-C40C66FF867C}">
                  <a14:compatExt spid="_x0000_s23555"/>
                </a:ext>
                <a:ext uri="{FF2B5EF4-FFF2-40B4-BE49-F238E27FC236}">
                  <a16:creationId xmlns:a16="http://schemas.microsoft.com/office/drawing/2014/main" id="{00000000-0008-0000-1600-00000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23556" name="Button 4" hidden="1">
              <a:extLst>
                <a:ext uri="{63B3BB69-23CF-44E3-9099-C40C66FF867C}">
                  <a14:compatExt spid="_x0000_s23556"/>
                </a:ext>
                <a:ext uri="{FF2B5EF4-FFF2-40B4-BE49-F238E27FC236}">
                  <a16:creationId xmlns:a16="http://schemas.microsoft.com/office/drawing/2014/main" id="{00000000-0008-0000-1600-00000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2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180975</xdr:colOff>
          <xdr:row>121</xdr:row>
          <xdr:rowOff>85725</xdr:rowOff>
        </xdr:to>
        <xdr:sp macro="" textlink="">
          <xdr:nvSpPr>
            <xdr:cNvPr id="24577" name="Check Box 1" hidden="1">
              <a:extLst>
                <a:ext uri="{63B3BB69-23CF-44E3-9099-C40C66FF867C}">
                  <a14:compatExt spid="_x0000_s24577"/>
                </a:ext>
                <a:ext uri="{FF2B5EF4-FFF2-40B4-BE49-F238E27FC236}">
                  <a16:creationId xmlns:a16="http://schemas.microsoft.com/office/drawing/2014/main" id="{00000000-0008-0000-1700-000001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180975</xdr:colOff>
          <xdr:row>121</xdr:row>
          <xdr:rowOff>85725</xdr:rowOff>
        </xdr:to>
        <xdr:sp macro="" textlink="">
          <xdr:nvSpPr>
            <xdr:cNvPr id="24578" name="Check Box 2" hidden="1">
              <a:extLst>
                <a:ext uri="{63B3BB69-23CF-44E3-9099-C40C66FF867C}">
                  <a14:compatExt spid="_x0000_s24578"/>
                </a:ext>
                <a:ext uri="{FF2B5EF4-FFF2-40B4-BE49-F238E27FC236}">
                  <a16:creationId xmlns:a16="http://schemas.microsoft.com/office/drawing/2014/main" id="{00000000-0008-0000-1700-000002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180975</xdr:colOff>
          <xdr:row>121</xdr:row>
          <xdr:rowOff>85725</xdr:rowOff>
        </xdr:to>
        <xdr:sp macro="" textlink="">
          <xdr:nvSpPr>
            <xdr:cNvPr id="24579" name="Check Box 3" hidden="1">
              <a:extLst>
                <a:ext uri="{63B3BB69-23CF-44E3-9099-C40C66FF867C}">
                  <a14:compatExt spid="_x0000_s24579"/>
                </a:ext>
                <a:ext uri="{FF2B5EF4-FFF2-40B4-BE49-F238E27FC236}">
                  <a16:creationId xmlns:a16="http://schemas.microsoft.com/office/drawing/2014/main" id="{00000000-0008-0000-1700-000003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24580" name="Button 4" hidden="1">
              <a:extLst>
                <a:ext uri="{63B3BB69-23CF-44E3-9099-C40C66FF867C}">
                  <a14:compatExt spid="_x0000_s24580"/>
                </a:ext>
                <a:ext uri="{FF2B5EF4-FFF2-40B4-BE49-F238E27FC236}">
                  <a16:creationId xmlns:a16="http://schemas.microsoft.com/office/drawing/2014/main" id="{00000000-0008-0000-1700-000004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2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16</xdr:col>
          <xdr:colOff>704850</xdr:colOff>
          <xdr:row>121</xdr:row>
          <xdr:rowOff>85725</xdr:rowOff>
        </xdr:to>
        <xdr:sp macro="" textlink="">
          <xdr:nvSpPr>
            <xdr:cNvPr id="25601" name="Check Box 1" hidden="1">
              <a:extLst>
                <a:ext uri="{63B3BB69-23CF-44E3-9099-C40C66FF867C}">
                  <a14:compatExt spid="_x0000_s25601"/>
                </a:ext>
                <a:ext uri="{FF2B5EF4-FFF2-40B4-BE49-F238E27FC236}">
                  <a16:creationId xmlns:a16="http://schemas.microsoft.com/office/drawing/2014/main" id="{00000000-0008-0000-1800-000001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16</xdr:col>
          <xdr:colOff>704850</xdr:colOff>
          <xdr:row>121</xdr:row>
          <xdr:rowOff>85725</xdr:rowOff>
        </xdr:to>
        <xdr:sp macro="" textlink="">
          <xdr:nvSpPr>
            <xdr:cNvPr id="25602" name="Check Box 2" hidden="1">
              <a:extLst>
                <a:ext uri="{63B3BB69-23CF-44E3-9099-C40C66FF867C}">
                  <a14:compatExt spid="_x0000_s25602"/>
                </a:ext>
                <a:ext uri="{FF2B5EF4-FFF2-40B4-BE49-F238E27FC236}">
                  <a16:creationId xmlns:a16="http://schemas.microsoft.com/office/drawing/2014/main" id="{00000000-0008-0000-1800-000002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16</xdr:col>
          <xdr:colOff>704850</xdr:colOff>
          <xdr:row>121</xdr:row>
          <xdr:rowOff>85725</xdr:rowOff>
        </xdr:to>
        <xdr:sp macro="" textlink="">
          <xdr:nvSpPr>
            <xdr:cNvPr id="25603" name="Check Box 3" hidden="1">
              <a:extLst>
                <a:ext uri="{63B3BB69-23CF-44E3-9099-C40C66FF867C}">
                  <a14:compatExt spid="_x0000_s25603"/>
                </a:ext>
                <a:ext uri="{FF2B5EF4-FFF2-40B4-BE49-F238E27FC236}">
                  <a16:creationId xmlns:a16="http://schemas.microsoft.com/office/drawing/2014/main" id="{00000000-0008-0000-1800-000003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25604" name="Button 4" hidden="1">
              <a:extLst>
                <a:ext uri="{63B3BB69-23CF-44E3-9099-C40C66FF867C}">
                  <a14:compatExt spid="_x0000_s25604"/>
                </a:ext>
                <a:ext uri="{FF2B5EF4-FFF2-40B4-BE49-F238E27FC236}">
                  <a16:creationId xmlns:a16="http://schemas.microsoft.com/office/drawing/2014/main" id="{00000000-0008-0000-1800-000004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2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26625" name="Check Box 1" hidden="1">
              <a:extLst>
                <a:ext uri="{63B3BB69-23CF-44E3-9099-C40C66FF867C}">
                  <a14:compatExt spid="_x0000_s26625"/>
                </a:ext>
                <a:ext uri="{FF2B5EF4-FFF2-40B4-BE49-F238E27FC236}">
                  <a16:creationId xmlns:a16="http://schemas.microsoft.com/office/drawing/2014/main" id="{00000000-0008-0000-1900-000001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26626" name="Check Box 2" hidden="1">
              <a:extLst>
                <a:ext uri="{63B3BB69-23CF-44E3-9099-C40C66FF867C}">
                  <a14:compatExt spid="_x0000_s26626"/>
                </a:ext>
                <a:ext uri="{FF2B5EF4-FFF2-40B4-BE49-F238E27FC236}">
                  <a16:creationId xmlns:a16="http://schemas.microsoft.com/office/drawing/2014/main" id="{00000000-0008-0000-1900-000002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26627" name="Check Box 3" hidden="1">
              <a:extLst>
                <a:ext uri="{63B3BB69-23CF-44E3-9099-C40C66FF867C}">
                  <a14:compatExt spid="_x0000_s26627"/>
                </a:ext>
                <a:ext uri="{FF2B5EF4-FFF2-40B4-BE49-F238E27FC236}">
                  <a16:creationId xmlns:a16="http://schemas.microsoft.com/office/drawing/2014/main" id="{00000000-0008-0000-1900-000003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26628" name="Button 4" hidden="1">
              <a:extLst>
                <a:ext uri="{63B3BB69-23CF-44E3-9099-C40C66FF867C}">
                  <a14:compatExt spid="_x0000_s26628"/>
                </a:ext>
                <a:ext uri="{FF2B5EF4-FFF2-40B4-BE49-F238E27FC236}">
                  <a16:creationId xmlns:a16="http://schemas.microsoft.com/office/drawing/2014/main" id="{00000000-0008-0000-1900-000004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2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27649" name="Check Box 1" hidden="1">
              <a:extLst>
                <a:ext uri="{63B3BB69-23CF-44E3-9099-C40C66FF867C}">
                  <a14:compatExt spid="_x0000_s27649"/>
                </a:ext>
                <a:ext uri="{FF2B5EF4-FFF2-40B4-BE49-F238E27FC236}">
                  <a16:creationId xmlns:a16="http://schemas.microsoft.com/office/drawing/2014/main" id="{00000000-0008-0000-1A00-000001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27650" name="Check Box 2" hidden="1">
              <a:extLst>
                <a:ext uri="{63B3BB69-23CF-44E3-9099-C40C66FF867C}">
                  <a14:compatExt spid="_x0000_s27650"/>
                </a:ext>
                <a:ext uri="{FF2B5EF4-FFF2-40B4-BE49-F238E27FC236}">
                  <a16:creationId xmlns:a16="http://schemas.microsoft.com/office/drawing/2014/main" id="{00000000-0008-0000-1A00-000002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27651" name="Check Box 3" hidden="1">
              <a:extLst>
                <a:ext uri="{63B3BB69-23CF-44E3-9099-C40C66FF867C}">
                  <a14:compatExt spid="_x0000_s27651"/>
                </a:ext>
                <a:ext uri="{FF2B5EF4-FFF2-40B4-BE49-F238E27FC236}">
                  <a16:creationId xmlns:a16="http://schemas.microsoft.com/office/drawing/2014/main" id="{00000000-0008-0000-1A00-000003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27652" name="Button 4" hidden="1">
              <a:extLst>
                <a:ext uri="{63B3BB69-23CF-44E3-9099-C40C66FF867C}">
                  <a14:compatExt spid="_x0000_s27652"/>
                </a:ext>
                <a:ext uri="{FF2B5EF4-FFF2-40B4-BE49-F238E27FC236}">
                  <a16:creationId xmlns:a16="http://schemas.microsoft.com/office/drawing/2014/main" id="{00000000-0008-0000-1A00-000004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2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28673" name="Check Box 1" hidden="1">
              <a:extLst>
                <a:ext uri="{63B3BB69-23CF-44E3-9099-C40C66FF867C}">
                  <a14:compatExt spid="_x0000_s28673"/>
                </a:ext>
                <a:ext uri="{FF2B5EF4-FFF2-40B4-BE49-F238E27FC236}">
                  <a16:creationId xmlns:a16="http://schemas.microsoft.com/office/drawing/2014/main" id="{00000000-0008-0000-1B00-000001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28674" name="Check Box 2" hidden="1">
              <a:extLst>
                <a:ext uri="{63B3BB69-23CF-44E3-9099-C40C66FF867C}">
                  <a14:compatExt spid="_x0000_s28674"/>
                </a:ext>
                <a:ext uri="{FF2B5EF4-FFF2-40B4-BE49-F238E27FC236}">
                  <a16:creationId xmlns:a16="http://schemas.microsoft.com/office/drawing/2014/main" id="{00000000-0008-0000-1B00-000002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28675" name="Check Box 3" hidden="1">
              <a:extLst>
                <a:ext uri="{63B3BB69-23CF-44E3-9099-C40C66FF867C}">
                  <a14:compatExt spid="_x0000_s28675"/>
                </a:ext>
                <a:ext uri="{FF2B5EF4-FFF2-40B4-BE49-F238E27FC236}">
                  <a16:creationId xmlns:a16="http://schemas.microsoft.com/office/drawing/2014/main" id="{00000000-0008-0000-1B00-000003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28676" name="Button 4" hidden="1">
              <a:extLst>
                <a:ext uri="{63B3BB69-23CF-44E3-9099-C40C66FF867C}">
                  <a14:compatExt spid="_x0000_s28676"/>
                </a:ext>
                <a:ext uri="{FF2B5EF4-FFF2-40B4-BE49-F238E27FC236}">
                  <a16:creationId xmlns:a16="http://schemas.microsoft.com/office/drawing/2014/main" id="{00000000-0008-0000-1B00-000004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2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171450</xdr:colOff>
          <xdr:row>121</xdr:row>
          <xdr:rowOff>85725</xdr:rowOff>
        </xdr:to>
        <xdr:sp macro="" textlink="">
          <xdr:nvSpPr>
            <xdr:cNvPr id="29697" name="Check Box 1" hidden="1">
              <a:extLst>
                <a:ext uri="{63B3BB69-23CF-44E3-9099-C40C66FF867C}">
                  <a14:compatExt spid="_x0000_s29697"/>
                </a:ext>
                <a:ext uri="{FF2B5EF4-FFF2-40B4-BE49-F238E27FC236}">
                  <a16:creationId xmlns:a16="http://schemas.microsoft.com/office/drawing/2014/main" id="{00000000-0008-0000-1C00-000001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171450</xdr:colOff>
          <xdr:row>121</xdr:row>
          <xdr:rowOff>85725</xdr:rowOff>
        </xdr:to>
        <xdr:sp macro="" textlink="">
          <xdr:nvSpPr>
            <xdr:cNvPr id="29698" name="Check Box 2" hidden="1">
              <a:extLst>
                <a:ext uri="{63B3BB69-23CF-44E3-9099-C40C66FF867C}">
                  <a14:compatExt spid="_x0000_s29698"/>
                </a:ext>
                <a:ext uri="{FF2B5EF4-FFF2-40B4-BE49-F238E27FC236}">
                  <a16:creationId xmlns:a16="http://schemas.microsoft.com/office/drawing/2014/main" id="{00000000-0008-0000-1C00-000002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171450</xdr:colOff>
          <xdr:row>121</xdr:row>
          <xdr:rowOff>85725</xdr:rowOff>
        </xdr:to>
        <xdr:sp macro="" textlink="">
          <xdr:nvSpPr>
            <xdr:cNvPr id="29699" name="Check Box 3" hidden="1">
              <a:extLst>
                <a:ext uri="{63B3BB69-23CF-44E3-9099-C40C66FF867C}">
                  <a14:compatExt spid="_x0000_s29699"/>
                </a:ext>
                <a:ext uri="{FF2B5EF4-FFF2-40B4-BE49-F238E27FC236}">
                  <a16:creationId xmlns:a16="http://schemas.microsoft.com/office/drawing/2014/main" id="{00000000-0008-0000-1C00-000003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29700" name="Button 4" hidden="1">
              <a:extLst>
                <a:ext uri="{63B3BB69-23CF-44E3-9099-C40C66FF867C}">
                  <a14:compatExt spid="_x0000_s29700"/>
                </a:ext>
                <a:ext uri="{FF2B5EF4-FFF2-40B4-BE49-F238E27FC236}">
                  <a16:creationId xmlns:a16="http://schemas.microsoft.com/office/drawing/2014/main" id="{00000000-0008-0000-1C00-000004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6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5.xml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10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9.xml"/><Relationship Id="rId5" Type="http://schemas.openxmlformats.org/officeDocument/2006/relationships/ctrlProp" Target="../ctrlProps/ctrlProp8.xml"/><Relationship Id="rId4" Type="http://schemas.openxmlformats.org/officeDocument/2006/relationships/ctrlProp" Target="../ctrlProps/ctrlProp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1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3.xml"/><Relationship Id="rId5" Type="http://schemas.openxmlformats.org/officeDocument/2006/relationships/ctrlProp" Target="../ctrlProps/ctrlProp12.xml"/><Relationship Id="rId4" Type="http://schemas.openxmlformats.org/officeDocument/2006/relationships/ctrlProp" Target="../ctrlProps/ctrlProp1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18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17.xml"/><Relationship Id="rId5" Type="http://schemas.openxmlformats.org/officeDocument/2006/relationships/ctrlProp" Target="../ctrlProps/ctrlProp16.xml"/><Relationship Id="rId4" Type="http://schemas.openxmlformats.org/officeDocument/2006/relationships/ctrlProp" Target="../ctrlProps/ctrlProp1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7" Type="http://schemas.openxmlformats.org/officeDocument/2006/relationships/ctrlProp" Target="../ctrlProps/ctrlProp22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21.xml"/><Relationship Id="rId5" Type="http://schemas.openxmlformats.org/officeDocument/2006/relationships/ctrlProp" Target="../ctrlProps/ctrlProp20.xml"/><Relationship Id="rId4" Type="http://schemas.openxmlformats.org/officeDocument/2006/relationships/ctrlProp" Target="../ctrlProps/ctrlProp19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7" Type="http://schemas.openxmlformats.org/officeDocument/2006/relationships/ctrlProp" Target="../ctrlProps/ctrlProp26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25.xml"/><Relationship Id="rId5" Type="http://schemas.openxmlformats.org/officeDocument/2006/relationships/ctrlProp" Target="../ctrlProps/ctrlProp24.xml"/><Relationship Id="rId4" Type="http://schemas.openxmlformats.org/officeDocument/2006/relationships/ctrlProp" Target="../ctrlProps/ctrlProp2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7" Type="http://schemas.openxmlformats.org/officeDocument/2006/relationships/ctrlProp" Target="../ctrlProps/ctrlProp30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6" Type="http://schemas.openxmlformats.org/officeDocument/2006/relationships/ctrlProp" Target="../ctrlProps/ctrlProp29.xml"/><Relationship Id="rId5" Type="http://schemas.openxmlformats.org/officeDocument/2006/relationships/ctrlProp" Target="../ctrlProps/ctrlProp28.xml"/><Relationship Id="rId4" Type="http://schemas.openxmlformats.org/officeDocument/2006/relationships/ctrlProp" Target="../ctrlProps/ctrlProp2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7" Type="http://schemas.openxmlformats.org/officeDocument/2006/relationships/ctrlProp" Target="../ctrlProps/ctrlProp34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6" Type="http://schemas.openxmlformats.org/officeDocument/2006/relationships/ctrlProp" Target="../ctrlProps/ctrlProp33.xml"/><Relationship Id="rId5" Type="http://schemas.openxmlformats.org/officeDocument/2006/relationships/ctrlProp" Target="../ctrlProps/ctrlProp32.xml"/><Relationship Id="rId4" Type="http://schemas.openxmlformats.org/officeDocument/2006/relationships/ctrlProp" Target="../ctrlProps/ctrlProp3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7" Type="http://schemas.openxmlformats.org/officeDocument/2006/relationships/ctrlProp" Target="../ctrlProps/ctrlProp38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6" Type="http://schemas.openxmlformats.org/officeDocument/2006/relationships/ctrlProp" Target="../ctrlProps/ctrlProp37.xml"/><Relationship Id="rId5" Type="http://schemas.openxmlformats.org/officeDocument/2006/relationships/ctrlProp" Target="../ctrlProps/ctrlProp36.xml"/><Relationship Id="rId4" Type="http://schemas.openxmlformats.org/officeDocument/2006/relationships/ctrlProp" Target="../ctrlProps/ctrlProp3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7" Type="http://schemas.openxmlformats.org/officeDocument/2006/relationships/ctrlProp" Target="../ctrlProps/ctrlProp42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6" Type="http://schemas.openxmlformats.org/officeDocument/2006/relationships/ctrlProp" Target="../ctrlProps/ctrlProp41.xml"/><Relationship Id="rId5" Type="http://schemas.openxmlformats.org/officeDocument/2006/relationships/ctrlProp" Target="../ctrlProps/ctrlProp40.xml"/><Relationship Id="rId4" Type="http://schemas.openxmlformats.org/officeDocument/2006/relationships/ctrlProp" Target="../ctrlProps/ctrlProp39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7" Type="http://schemas.openxmlformats.org/officeDocument/2006/relationships/ctrlProp" Target="../ctrlProps/ctrlProp46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6" Type="http://schemas.openxmlformats.org/officeDocument/2006/relationships/ctrlProp" Target="../ctrlProps/ctrlProp45.xml"/><Relationship Id="rId5" Type="http://schemas.openxmlformats.org/officeDocument/2006/relationships/ctrlProp" Target="../ctrlProps/ctrlProp44.xml"/><Relationship Id="rId4" Type="http://schemas.openxmlformats.org/officeDocument/2006/relationships/ctrlProp" Target="../ctrlProps/ctrlProp4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7" Type="http://schemas.openxmlformats.org/officeDocument/2006/relationships/ctrlProp" Target="../ctrlProps/ctrlProp50.x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6" Type="http://schemas.openxmlformats.org/officeDocument/2006/relationships/ctrlProp" Target="../ctrlProps/ctrlProp49.xml"/><Relationship Id="rId5" Type="http://schemas.openxmlformats.org/officeDocument/2006/relationships/ctrlProp" Target="../ctrlProps/ctrlProp48.xml"/><Relationship Id="rId4" Type="http://schemas.openxmlformats.org/officeDocument/2006/relationships/ctrlProp" Target="../ctrlProps/ctrlProp47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7" Type="http://schemas.openxmlformats.org/officeDocument/2006/relationships/ctrlProp" Target="../ctrlProps/ctrlProp54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6" Type="http://schemas.openxmlformats.org/officeDocument/2006/relationships/ctrlProp" Target="../ctrlProps/ctrlProp53.xml"/><Relationship Id="rId5" Type="http://schemas.openxmlformats.org/officeDocument/2006/relationships/ctrlProp" Target="../ctrlProps/ctrlProp52.xml"/><Relationship Id="rId4" Type="http://schemas.openxmlformats.org/officeDocument/2006/relationships/ctrlProp" Target="../ctrlProps/ctrlProp5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7" Type="http://schemas.openxmlformats.org/officeDocument/2006/relationships/ctrlProp" Target="../ctrlProps/ctrlProp58.x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6" Type="http://schemas.openxmlformats.org/officeDocument/2006/relationships/ctrlProp" Target="../ctrlProps/ctrlProp57.xml"/><Relationship Id="rId5" Type="http://schemas.openxmlformats.org/officeDocument/2006/relationships/ctrlProp" Target="../ctrlProps/ctrlProp56.xml"/><Relationship Id="rId4" Type="http://schemas.openxmlformats.org/officeDocument/2006/relationships/ctrlProp" Target="../ctrlProps/ctrlProp5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7" Type="http://schemas.openxmlformats.org/officeDocument/2006/relationships/ctrlProp" Target="../ctrlProps/ctrlProp62.x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6" Type="http://schemas.openxmlformats.org/officeDocument/2006/relationships/ctrlProp" Target="../ctrlProps/ctrlProp61.xml"/><Relationship Id="rId5" Type="http://schemas.openxmlformats.org/officeDocument/2006/relationships/ctrlProp" Target="../ctrlProps/ctrlProp60.xml"/><Relationship Id="rId4" Type="http://schemas.openxmlformats.org/officeDocument/2006/relationships/ctrlProp" Target="../ctrlProps/ctrlProp59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7" Type="http://schemas.openxmlformats.org/officeDocument/2006/relationships/ctrlProp" Target="../ctrlProps/ctrlProp66.x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6" Type="http://schemas.openxmlformats.org/officeDocument/2006/relationships/ctrlProp" Target="../ctrlProps/ctrlProp65.xml"/><Relationship Id="rId5" Type="http://schemas.openxmlformats.org/officeDocument/2006/relationships/ctrlProp" Target="../ctrlProps/ctrlProp64.xml"/><Relationship Id="rId4" Type="http://schemas.openxmlformats.org/officeDocument/2006/relationships/ctrlProp" Target="../ctrlProps/ctrlProp63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7" Type="http://schemas.openxmlformats.org/officeDocument/2006/relationships/ctrlProp" Target="../ctrlProps/ctrlProp70.x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6" Type="http://schemas.openxmlformats.org/officeDocument/2006/relationships/ctrlProp" Target="../ctrlProps/ctrlProp69.xml"/><Relationship Id="rId5" Type="http://schemas.openxmlformats.org/officeDocument/2006/relationships/ctrlProp" Target="../ctrlProps/ctrlProp68.xml"/><Relationship Id="rId4" Type="http://schemas.openxmlformats.org/officeDocument/2006/relationships/ctrlProp" Target="../ctrlProps/ctrlProp67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7" Type="http://schemas.openxmlformats.org/officeDocument/2006/relationships/ctrlProp" Target="../ctrlProps/ctrlProp74.x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6" Type="http://schemas.openxmlformats.org/officeDocument/2006/relationships/ctrlProp" Target="../ctrlProps/ctrlProp73.xml"/><Relationship Id="rId5" Type="http://schemas.openxmlformats.org/officeDocument/2006/relationships/ctrlProp" Target="../ctrlProps/ctrlProp72.xml"/><Relationship Id="rId4" Type="http://schemas.openxmlformats.org/officeDocument/2006/relationships/ctrlProp" Target="../ctrlProps/ctrlProp7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7" Type="http://schemas.openxmlformats.org/officeDocument/2006/relationships/ctrlProp" Target="../ctrlProps/ctrlProp78.x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6" Type="http://schemas.openxmlformats.org/officeDocument/2006/relationships/ctrlProp" Target="../ctrlProps/ctrlProp77.xml"/><Relationship Id="rId5" Type="http://schemas.openxmlformats.org/officeDocument/2006/relationships/ctrlProp" Target="../ctrlProps/ctrlProp76.xml"/><Relationship Id="rId4" Type="http://schemas.openxmlformats.org/officeDocument/2006/relationships/ctrlProp" Target="../ctrlProps/ctrlProp75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7" Type="http://schemas.openxmlformats.org/officeDocument/2006/relationships/ctrlProp" Target="../ctrlProps/ctrlProp82.x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6" Type="http://schemas.openxmlformats.org/officeDocument/2006/relationships/ctrlProp" Target="../ctrlProps/ctrlProp81.xml"/><Relationship Id="rId5" Type="http://schemas.openxmlformats.org/officeDocument/2006/relationships/ctrlProp" Target="../ctrlProps/ctrlProp80.xml"/><Relationship Id="rId4" Type="http://schemas.openxmlformats.org/officeDocument/2006/relationships/ctrlProp" Target="../ctrlProps/ctrlProp79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7" Type="http://schemas.openxmlformats.org/officeDocument/2006/relationships/ctrlProp" Target="../ctrlProps/ctrlProp86.x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6" Type="http://schemas.openxmlformats.org/officeDocument/2006/relationships/ctrlProp" Target="../ctrlProps/ctrlProp85.xml"/><Relationship Id="rId5" Type="http://schemas.openxmlformats.org/officeDocument/2006/relationships/ctrlProp" Target="../ctrlProps/ctrlProp84.xml"/><Relationship Id="rId4" Type="http://schemas.openxmlformats.org/officeDocument/2006/relationships/ctrlProp" Target="../ctrlProps/ctrlProp8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7" Type="http://schemas.openxmlformats.org/officeDocument/2006/relationships/ctrlProp" Target="../ctrlProps/ctrlProp90.x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6" Type="http://schemas.openxmlformats.org/officeDocument/2006/relationships/ctrlProp" Target="../ctrlProps/ctrlProp89.xml"/><Relationship Id="rId5" Type="http://schemas.openxmlformats.org/officeDocument/2006/relationships/ctrlProp" Target="../ctrlProps/ctrlProp88.xml"/><Relationship Id="rId4" Type="http://schemas.openxmlformats.org/officeDocument/2006/relationships/ctrlProp" Target="../ctrlProps/ctrlProp87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7" Type="http://schemas.openxmlformats.org/officeDocument/2006/relationships/ctrlProp" Target="../ctrlProps/ctrlProp94.x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6" Type="http://schemas.openxmlformats.org/officeDocument/2006/relationships/ctrlProp" Target="../ctrlProps/ctrlProp93.xml"/><Relationship Id="rId5" Type="http://schemas.openxmlformats.org/officeDocument/2006/relationships/ctrlProp" Target="../ctrlProps/ctrlProp92.xml"/><Relationship Id="rId4" Type="http://schemas.openxmlformats.org/officeDocument/2006/relationships/ctrlProp" Target="../ctrlProps/ctrlProp9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7" Type="http://schemas.openxmlformats.org/officeDocument/2006/relationships/ctrlProp" Target="../ctrlProps/ctrlProp98.x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6" Type="http://schemas.openxmlformats.org/officeDocument/2006/relationships/ctrlProp" Target="../ctrlProps/ctrlProp97.xml"/><Relationship Id="rId5" Type="http://schemas.openxmlformats.org/officeDocument/2006/relationships/ctrlProp" Target="../ctrlProps/ctrlProp96.xml"/><Relationship Id="rId4" Type="http://schemas.openxmlformats.org/officeDocument/2006/relationships/ctrlProp" Target="../ctrlProps/ctrlProp95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7" Type="http://schemas.openxmlformats.org/officeDocument/2006/relationships/ctrlProp" Target="../ctrlProps/ctrlProp102.x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6" Type="http://schemas.openxmlformats.org/officeDocument/2006/relationships/ctrlProp" Target="../ctrlProps/ctrlProp101.xml"/><Relationship Id="rId5" Type="http://schemas.openxmlformats.org/officeDocument/2006/relationships/ctrlProp" Target="../ctrlProps/ctrlProp100.xml"/><Relationship Id="rId4" Type="http://schemas.openxmlformats.org/officeDocument/2006/relationships/ctrlProp" Target="../ctrlProps/ctrlProp99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7" Type="http://schemas.openxmlformats.org/officeDocument/2006/relationships/ctrlProp" Target="../ctrlProps/ctrlProp106.x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6" Type="http://schemas.openxmlformats.org/officeDocument/2006/relationships/ctrlProp" Target="../ctrlProps/ctrlProp105.xml"/><Relationship Id="rId5" Type="http://schemas.openxmlformats.org/officeDocument/2006/relationships/ctrlProp" Target="../ctrlProps/ctrlProp104.xml"/><Relationship Id="rId4" Type="http://schemas.openxmlformats.org/officeDocument/2006/relationships/ctrlProp" Target="../ctrlProps/ctrlProp103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7" Type="http://schemas.openxmlformats.org/officeDocument/2006/relationships/ctrlProp" Target="../ctrlProps/ctrlProp110.x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6" Type="http://schemas.openxmlformats.org/officeDocument/2006/relationships/ctrlProp" Target="../ctrlProps/ctrlProp109.xml"/><Relationship Id="rId5" Type="http://schemas.openxmlformats.org/officeDocument/2006/relationships/ctrlProp" Target="../ctrlProps/ctrlProp108.xml"/><Relationship Id="rId4" Type="http://schemas.openxmlformats.org/officeDocument/2006/relationships/ctrlProp" Target="../ctrlProps/ctrlProp10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8CC2A-5DBE-475B-89CF-C69655F4FB0A}">
  <sheetPr codeName="Sheet2"/>
  <dimension ref="A1:Z33"/>
  <sheetViews>
    <sheetView tabSelected="1" zoomScale="135" workbookViewId="0">
      <selection activeCell="E2" sqref="E2"/>
    </sheetView>
  </sheetViews>
  <sheetFormatPr defaultColWidth="12.5703125" defaultRowHeight="15.75"/>
  <cols>
    <col min="1" max="1" width="22.85546875" customWidth="1"/>
    <col min="2" max="2" width="23.42578125" customWidth="1"/>
    <col min="27" max="16384" width="12.5703125" style="1"/>
  </cols>
  <sheetData>
    <row r="1" spans="1:26" ht="15" customHeight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5" customHeight="1">
      <c r="A2" s="2" t="s">
        <v>2</v>
      </c>
      <c r="B2" s="3"/>
      <c r="C2" s="1"/>
      <c r="D2" s="1" t="s">
        <v>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>
      <c r="A3" s="2" t="s">
        <v>4</v>
      </c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5" customHeight="1">
      <c r="A4" s="2" t="s">
        <v>5</v>
      </c>
      <c r="B4" s="3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5" customHeight="1">
      <c r="A5" s="2" t="s">
        <v>6</v>
      </c>
      <c r="B5" s="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5" customHeight="1">
      <c r="A6" s="5" t="s">
        <v>7</v>
      </c>
      <c r="B6" s="6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12954-ECE0-47FC-9DCC-830A1F25104E}">
  <sheetPr codeName="Sheet4"/>
  <dimension ref="A1:Z122"/>
  <sheetViews>
    <sheetView showGridLines="0" zoomScale="85" zoomScaleNormal="85" zoomScaleSheetLayoutView="125" workbookViewId="0">
      <selection activeCell="T27" sqref="T27"/>
    </sheetView>
  </sheetViews>
  <sheetFormatPr defaultColWidth="10.140625" defaultRowHeight="15"/>
  <cols>
    <col min="1" max="1" width="4.7109375" customWidth="1"/>
    <col min="2" max="2" width="5" customWidth="1"/>
    <col min="3" max="3" width="14.140625" customWidth="1"/>
    <col min="4" max="4" width="7.85546875" customWidth="1"/>
    <col min="5" max="6" width="9.570312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8" width="8.42578125" customWidth="1"/>
    <col min="27" max="16384" width="10.140625" style="9"/>
  </cols>
  <sheetData>
    <row r="1" spans="1:26" ht="15" customHeight="1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>
      <c r="A2" s="10"/>
      <c r="B2" s="10"/>
      <c r="C2" s="10"/>
      <c r="D2" s="10"/>
      <c r="E2" s="10"/>
      <c r="F2" s="10"/>
      <c r="G2" s="173"/>
      <c r="H2" s="173"/>
      <c r="I2" s="173"/>
      <c r="J2" s="173"/>
      <c r="K2" s="173"/>
      <c r="L2" s="173"/>
      <c r="M2" s="10"/>
      <c r="N2" s="11"/>
      <c r="O2" s="174"/>
      <c r="P2" s="174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 ht="15.95" customHeight="1">
      <c r="A3" s="10"/>
      <c r="B3" s="10"/>
      <c r="C3" s="10"/>
      <c r="D3" s="10"/>
      <c r="E3" s="10"/>
      <c r="F3" s="10"/>
      <c r="G3" s="173"/>
      <c r="H3" s="173"/>
      <c r="I3" s="173"/>
      <c r="J3" s="173"/>
      <c r="K3" s="173"/>
      <c r="L3" s="173"/>
      <c r="M3" s="10"/>
      <c r="N3" s="11"/>
      <c r="O3" s="174"/>
      <c r="P3" s="174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" customHeight="1">
      <c r="A4" s="10"/>
      <c r="B4" s="10"/>
      <c r="C4" s="10"/>
      <c r="D4" s="10"/>
      <c r="E4" s="10"/>
      <c r="F4" s="10"/>
      <c r="G4" s="173"/>
      <c r="H4" s="173"/>
      <c r="I4" s="173"/>
      <c r="J4" s="173"/>
      <c r="K4" s="173"/>
      <c r="L4" s="173"/>
      <c r="M4" s="10"/>
      <c r="N4" s="11"/>
      <c r="O4" s="174"/>
      <c r="P4" s="174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>
      <c r="A5" s="169" t="s">
        <v>8</v>
      </c>
      <c r="B5" s="169"/>
      <c r="C5" s="169"/>
      <c r="D5" s="13" t="s">
        <v>9</v>
      </c>
      <c r="E5" s="14">
        <v>2026</v>
      </c>
      <c r="F5" s="15"/>
      <c r="G5" s="16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>
      <c r="A6" s="169" t="s">
        <v>10</v>
      </c>
      <c r="B6" s="169"/>
      <c r="C6" s="169"/>
      <c r="D6" s="170">
        <f>DATE(E5,MONTH(D5&amp;1),1)</f>
        <v>46054</v>
      </c>
      <c r="E6" s="170"/>
      <c r="F6" s="17"/>
      <c r="G6" s="171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2.75" customHeight="1" thickBot="1">
      <c r="A8" s="157" t="s">
        <v>11</v>
      </c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9"/>
      <c r="T8" s="9"/>
      <c r="U8" s="9"/>
      <c r="V8" s="9"/>
      <c r="W8" s="9"/>
      <c r="X8" s="9"/>
      <c r="Y8" s="9"/>
      <c r="Z8" s="9"/>
    </row>
    <row r="9" spans="1:26" ht="24.95" customHeight="1">
      <c r="A9" s="158" t="s">
        <v>12</v>
      </c>
      <c r="B9" s="159"/>
      <c r="C9" s="162" t="s">
        <v>13</v>
      </c>
      <c r="D9" s="162"/>
      <c r="E9" s="163"/>
      <c r="F9" s="20" t="s">
        <v>14</v>
      </c>
      <c r="G9" s="166" t="s">
        <v>15</v>
      </c>
      <c r="H9" s="167"/>
      <c r="I9" s="21" t="s">
        <v>16</v>
      </c>
      <c r="J9" s="166" t="s">
        <v>17</v>
      </c>
      <c r="K9" s="167"/>
      <c r="L9" s="21" t="s">
        <v>16</v>
      </c>
      <c r="M9" s="166" t="s">
        <v>18</v>
      </c>
      <c r="N9" s="167"/>
      <c r="O9" s="22" t="s">
        <v>16</v>
      </c>
      <c r="P9" s="167" t="s">
        <v>19</v>
      </c>
      <c r="Q9" s="167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>
      <c r="A10" s="160"/>
      <c r="B10" s="161"/>
      <c r="C10" s="164"/>
      <c r="D10" s="164"/>
      <c r="E10" s="165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68"/>
      <c r="Q10" s="168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>
      <c r="A11" s="137">
        <v>101</v>
      </c>
      <c r="B11" s="138"/>
      <c r="C11" s="139" t="s">
        <v>83</v>
      </c>
      <c r="D11" s="139"/>
      <c r="E11" s="140"/>
      <c r="F11" s="41">
        <v>60</v>
      </c>
      <c r="G11" s="42"/>
      <c r="H11" s="43"/>
      <c r="I11" s="44"/>
      <c r="J11" s="42"/>
      <c r="K11" s="43"/>
      <c r="L11" s="44"/>
      <c r="M11" s="42"/>
      <c r="N11" s="43"/>
      <c r="O11" s="44"/>
      <c r="P11" s="45">
        <f>G11+J11+M11</f>
        <v>0</v>
      </c>
      <c r="Q11" s="45">
        <f>P11</f>
        <v>0</v>
      </c>
      <c r="R11" s="46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>
      <c r="A12" s="135"/>
      <c r="B12" s="136"/>
      <c r="C12" s="141" t="s">
        <v>84</v>
      </c>
      <c r="D12" s="141"/>
      <c r="E12" s="142"/>
      <c r="F12" s="47">
        <v>30</v>
      </c>
      <c r="G12" s="48"/>
      <c r="H12" s="48"/>
      <c r="I12" s="49"/>
      <c r="J12" s="48"/>
      <c r="K12" s="48"/>
      <c r="L12" s="49"/>
      <c r="M12" s="48"/>
      <c r="N12" s="48"/>
      <c r="O12" s="49"/>
      <c r="P12" s="50">
        <f t="shared" ref="P12:P32" si="0">G12+J12+M12</f>
        <v>0</v>
      </c>
      <c r="Q12" s="50">
        <f t="shared" ref="Q12:Q32" si="1">P12</f>
        <v>0</v>
      </c>
      <c r="R12" s="51">
        <f t="shared" ref="R12:R33" si="2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>
      <c r="A13" s="130"/>
      <c r="B13" s="131"/>
      <c r="C13" s="143" t="s">
        <v>85</v>
      </c>
      <c r="D13" s="143"/>
      <c r="E13" s="144"/>
      <c r="F13" s="52">
        <v>30</v>
      </c>
      <c r="G13" s="53"/>
      <c r="H13" s="53"/>
      <c r="I13" s="54"/>
      <c r="J13" s="53"/>
      <c r="K13" s="53"/>
      <c r="L13" s="54"/>
      <c r="M13" s="53"/>
      <c r="N13" s="53"/>
      <c r="O13" s="54"/>
      <c r="P13" s="55">
        <f t="shared" si="0"/>
        <v>0</v>
      </c>
      <c r="Q13" s="55">
        <f t="shared" si="1"/>
        <v>0</v>
      </c>
      <c r="R13" s="51">
        <f t="shared" si="2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>
      <c r="A14" s="128">
        <v>102</v>
      </c>
      <c r="B14" s="145"/>
      <c r="C14" s="148" t="s">
        <v>86</v>
      </c>
      <c r="D14" s="149"/>
      <c r="E14" s="150"/>
      <c r="F14" s="56">
        <v>40</v>
      </c>
      <c r="G14" s="57"/>
      <c r="H14" s="58"/>
      <c r="I14" s="59"/>
      <c r="J14" s="60"/>
      <c r="K14" s="58"/>
      <c r="L14" s="59"/>
      <c r="M14" s="60"/>
      <c r="N14" s="58"/>
      <c r="O14" s="59"/>
      <c r="P14" s="61">
        <f t="shared" si="0"/>
        <v>0</v>
      </c>
      <c r="Q14" s="61">
        <f t="shared" si="1"/>
        <v>0</v>
      </c>
      <c r="R14" s="62">
        <f t="shared" si="2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>
      <c r="A15" s="146"/>
      <c r="B15" s="147"/>
      <c r="C15" s="151" t="s">
        <v>87</v>
      </c>
      <c r="D15" s="152"/>
      <c r="E15" s="153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50">
        <f t="shared" si="0"/>
        <v>0</v>
      </c>
      <c r="Q15" s="50">
        <f t="shared" si="1"/>
        <v>0</v>
      </c>
      <c r="R15" s="46">
        <f t="shared" si="2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>
      <c r="A16" s="146"/>
      <c r="B16" s="147"/>
      <c r="C16" s="154" t="s">
        <v>88</v>
      </c>
      <c r="D16" s="155"/>
      <c r="E16" s="156"/>
      <c r="F16" s="47">
        <f>F14*(2/100)</f>
        <v>0.8</v>
      </c>
      <c r="G16" s="48"/>
      <c r="H16" s="48"/>
      <c r="I16" s="49"/>
      <c r="J16" s="48"/>
      <c r="K16" s="48"/>
      <c r="L16" s="49"/>
      <c r="M16" s="48"/>
      <c r="N16" s="48"/>
      <c r="O16" s="49"/>
      <c r="P16" s="50">
        <f t="shared" si="0"/>
        <v>0</v>
      </c>
      <c r="Q16" s="50">
        <f t="shared" si="1"/>
        <v>0</v>
      </c>
      <c r="R16" s="51">
        <f t="shared" si="2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>
      <c r="A17" s="146"/>
      <c r="B17" s="147"/>
      <c r="C17" s="122" t="s">
        <v>89</v>
      </c>
      <c r="D17" s="123"/>
      <c r="E17" s="124"/>
      <c r="F17" s="47">
        <f>F14*12/100</f>
        <v>4.8</v>
      </c>
      <c r="G17" s="48"/>
      <c r="H17" s="48"/>
      <c r="I17" s="49"/>
      <c r="J17" s="48"/>
      <c r="K17" s="48"/>
      <c r="L17" s="49"/>
      <c r="M17" s="48"/>
      <c r="N17" s="48"/>
      <c r="O17" s="49"/>
      <c r="P17" s="50">
        <f t="shared" si="0"/>
        <v>0</v>
      </c>
      <c r="Q17" s="50">
        <f t="shared" si="1"/>
        <v>0</v>
      </c>
      <c r="R17" s="51">
        <f t="shared" si="2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>
      <c r="A18" s="146"/>
      <c r="B18" s="147"/>
      <c r="C18" s="122" t="s">
        <v>90</v>
      </c>
      <c r="D18" s="123"/>
      <c r="E18" s="124"/>
      <c r="F18" s="47" t="s">
        <v>35</v>
      </c>
      <c r="G18" s="48"/>
      <c r="H18" s="48"/>
      <c r="I18" s="49"/>
      <c r="J18" s="48"/>
      <c r="K18" s="48"/>
      <c r="L18" s="49"/>
      <c r="M18" s="48"/>
      <c r="N18" s="48"/>
      <c r="O18" s="49"/>
      <c r="P18" s="50">
        <f t="shared" si="0"/>
        <v>0</v>
      </c>
      <c r="Q18" s="50">
        <f t="shared" si="1"/>
        <v>0</v>
      </c>
      <c r="R18" s="51">
        <f t="shared" si="2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>
      <c r="A19" s="146"/>
      <c r="B19" s="147"/>
      <c r="C19" s="122" t="s">
        <v>91</v>
      </c>
      <c r="D19" s="123"/>
      <c r="E19" s="124"/>
      <c r="F19" s="47" t="s">
        <v>35</v>
      </c>
      <c r="G19" s="48"/>
      <c r="H19" s="48"/>
      <c r="I19" s="49"/>
      <c r="J19" s="48"/>
      <c r="K19" s="48"/>
      <c r="L19" s="49"/>
      <c r="M19" s="48"/>
      <c r="N19" s="48"/>
      <c r="O19" s="49"/>
      <c r="P19" s="50">
        <f t="shared" si="0"/>
        <v>0</v>
      </c>
      <c r="Q19" s="50">
        <f t="shared" si="1"/>
        <v>0</v>
      </c>
      <c r="R19" s="51">
        <f t="shared" si="2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>
      <c r="A20" s="146"/>
      <c r="B20" s="147"/>
      <c r="C20" s="122" t="s">
        <v>92</v>
      </c>
      <c r="D20" s="123"/>
      <c r="E20" s="124"/>
      <c r="F20" s="63" t="s">
        <v>35</v>
      </c>
      <c r="G20" s="48"/>
      <c r="H20" s="48"/>
      <c r="I20" s="49"/>
      <c r="J20" s="48"/>
      <c r="K20" s="48"/>
      <c r="L20" s="49"/>
      <c r="M20" s="48"/>
      <c r="N20" s="48"/>
      <c r="O20" s="49"/>
      <c r="P20" s="50">
        <f t="shared" si="0"/>
        <v>0</v>
      </c>
      <c r="Q20" s="64">
        <f t="shared" si="1"/>
        <v>0</v>
      </c>
      <c r="R20" s="51">
        <f t="shared" si="2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>
      <c r="A21" s="130"/>
      <c r="B21" s="131"/>
      <c r="C21" s="132" t="s">
        <v>93</v>
      </c>
      <c r="D21" s="133"/>
      <c r="E21" s="134"/>
      <c r="F21" s="52">
        <f>F14*(0.5/100)</f>
        <v>0.2</v>
      </c>
      <c r="G21" s="53"/>
      <c r="H21" s="53"/>
      <c r="I21" s="54"/>
      <c r="J21" s="53"/>
      <c r="K21" s="53"/>
      <c r="L21" s="54"/>
      <c r="M21" s="53"/>
      <c r="N21" s="53"/>
      <c r="O21" s="54"/>
      <c r="P21" s="55">
        <f t="shared" si="0"/>
        <v>0</v>
      </c>
      <c r="Q21" s="55">
        <f t="shared" si="1"/>
        <v>0</v>
      </c>
      <c r="R21" s="51">
        <f t="shared" si="2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>
      <c r="A22" s="128" t="s">
        <v>105</v>
      </c>
      <c r="B22" s="129"/>
      <c r="C22" s="119" t="s">
        <v>94</v>
      </c>
      <c r="D22" s="120"/>
      <c r="E22" s="121"/>
      <c r="F22" s="56">
        <v>24</v>
      </c>
      <c r="G22" s="60">
        <v>8.8190000000000008</v>
      </c>
      <c r="H22" s="58"/>
      <c r="I22" s="65" t="s">
        <v>41</v>
      </c>
      <c r="J22" s="60">
        <v>8.8219999999999992</v>
      </c>
      <c r="K22" s="58"/>
      <c r="L22" s="65" t="s">
        <v>41</v>
      </c>
      <c r="M22" s="60">
        <v>8.8119999999999994</v>
      </c>
      <c r="N22" s="58"/>
      <c r="O22" s="65" t="s">
        <v>41</v>
      </c>
      <c r="P22" s="61">
        <f t="shared" si="0"/>
        <v>26.452999999999996</v>
      </c>
      <c r="Q22" s="61">
        <f t="shared" si="1"/>
        <v>26.452999999999996</v>
      </c>
      <c r="R22" s="62">
        <f t="shared" si="2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>
      <c r="A23" s="130"/>
      <c r="B23" s="131"/>
      <c r="C23" s="132" t="s">
        <v>95</v>
      </c>
      <c r="D23" s="133"/>
      <c r="E23" s="134"/>
      <c r="F23" s="52">
        <v>24</v>
      </c>
      <c r="G23" s="53">
        <v>8.7420000000000009</v>
      </c>
      <c r="H23" s="53"/>
      <c r="I23" s="66" t="s">
        <v>43</v>
      </c>
      <c r="J23" s="53">
        <v>8.9290000000000003</v>
      </c>
      <c r="K23" s="53"/>
      <c r="L23" s="66" t="s">
        <v>43</v>
      </c>
      <c r="M23" s="53">
        <v>8.2680000000000007</v>
      </c>
      <c r="N23" s="53"/>
      <c r="O23" s="66" t="s">
        <v>43</v>
      </c>
      <c r="P23" s="55">
        <f t="shared" si="0"/>
        <v>25.939</v>
      </c>
      <c r="Q23" s="55">
        <f t="shared" si="1"/>
        <v>25.939</v>
      </c>
      <c r="R23" s="67">
        <f t="shared" si="2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>
      <c r="A24" s="128" t="s">
        <v>106</v>
      </c>
      <c r="B24" s="129"/>
      <c r="C24" s="119" t="s">
        <v>96</v>
      </c>
      <c r="D24" s="120"/>
      <c r="E24" s="121"/>
      <c r="F24" s="56">
        <v>24</v>
      </c>
      <c r="G24" s="60">
        <v>8.5960000000000001</v>
      </c>
      <c r="H24" s="58"/>
      <c r="I24" s="59" t="s">
        <v>43</v>
      </c>
      <c r="J24" s="60">
        <v>8.7899999999999991</v>
      </c>
      <c r="K24" s="58"/>
      <c r="L24" s="59" t="s">
        <v>43</v>
      </c>
      <c r="M24" s="60">
        <v>8.84</v>
      </c>
      <c r="N24" s="58"/>
      <c r="O24" s="59" t="s">
        <v>43</v>
      </c>
      <c r="P24" s="61">
        <f t="shared" si="0"/>
        <v>26.225999999999999</v>
      </c>
      <c r="Q24" s="61">
        <f t="shared" si="1"/>
        <v>26.225999999999999</v>
      </c>
      <c r="R24" s="46">
        <f t="shared" si="2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>
      <c r="A25" s="135"/>
      <c r="B25" s="136"/>
      <c r="C25" s="122" t="s">
        <v>46</v>
      </c>
      <c r="D25" s="123"/>
      <c r="E25" s="124"/>
      <c r="F25" s="47" t="s">
        <v>35</v>
      </c>
      <c r="G25" s="48">
        <v>0.15440000000000001</v>
      </c>
      <c r="H25" s="48"/>
      <c r="I25" s="49" t="s">
        <v>47</v>
      </c>
      <c r="J25" s="48">
        <v>0.1545</v>
      </c>
      <c r="K25" s="48"/>
      <c r="L25" s="49" t="s">
        <v>47</v>
      </c>
      <c r="M25" s="48">
        <v>0.153</v>
      </c>
      <c r="N25" s="48"/>
      <c r="O25" s="49" t="s">
        <v>47</v>
      </c>
      <c r="P25" s="50">
        <f t="shared" si="0"/>
        <v>0.46189999999999998</v>
      </c>
      <c r="Q25" s="50">
        <f t="shared" si="1"/>
        <v>0.46189999999999998</v>
      </c>
      <c r="R25" s="51">
        <f t="shared" si="2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>
      <c r="A26" s="135"/>
      <c r="B26" s="136"/>
      <c r="C26" s="122" t="s">
        <v>97</v>
      </c>
      <c r="D26" s="123"/>
      <c r="E26" s="124"/>
      <c r="F26" s="47" t="s">
        <v>35</v>
      </c>
      <c r="G26" s="48">
        <v>8.1720000000000006</v>
      </c>
      <c r="H26" s="48"/>
      <c r="I26" s="49" t="s">
        <v>49</v>
      </c>
      <c r="J26" s="48">
        <v>8.3559999999999999</v>
      </c>
      <c r="K26" s="48"/>
      <c r="L26" s="49" t="s">
        <v>49</v>
      </c>
      <c r="M26" s="48">
        <v>8.35</v>
      </c>
      <c r="N26" s="48"/>
      <c r="O26" s="49" t="s">
        <v>49</v>
      </c>
      <c r="P26" s="50">
        <f t="shared" si="0"/>
        <v>24.878</v>
      </c>
      <c r="Q26" s="50">
        <f t="shared" si="1"/>
        <v>24.878</v>
      </c>
      <c r="R26" s="51">
        <f t="shared" si="2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>
      <c r="A27" s="135"/>
      <c r="B27" s="136"/>
      <c r="C27" s="122" t="s">
        <v>98</v>
      </c>
      <c r="D27" s="123"/>
      <c r="E27" s="124"/>
      <c r="F27" s="47" t="s">
        <v>35</v>
      </c>
      <c r="G27" s="48">
        <v>0</v>
      </c>
      <c r="H27" s="48"/>
      <c r="I27" s="49" t="s">
        <v>51</v>
      </c>
      <c r="J27" s="48">
        <v>0</v>
      </c>
      <c r="K27" s="48"/>
      <c r="L27" s="49" t="s">
        <v>51</v>
      </c>
      <c r="M27" s="48">
        <v>0</v>
      </c>
      <c r="N27" s="48"/>
      <c r="O27" s="49" t="s">
        <v>51</v>
      </c>
      <c r="P27" s="50">
        <f t="shared" si="0"/>
        <v>0</v>
      </c>
      <c r="Q27" s="50">
        <f t="shared" si="1"/>
        <v>0</v>
      </c>
      <c r="R27" s="68">
        <f t="shared" si="2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>
      <c r="A28" s="130"/>
      <c r="B28" s="131"/>
      <c r="C28" s="132" t="s">
        <v>99</v>
      </c>
      <c r="D28" s="133"/>
      <c r="E28" s="134"/>
      <c r="F28" s="52" t="s">
        <v>35</v>
      </c>
      <c r="G28" s="53">
        <v>0.2802</v>
      </c>
      <c r="H28" s="53"/>
      <c r="I28" s="54" t="s">
        <v>53</v>
      </c>
      <c r="J28" s="53">
        <v>0.29880000000000001</v>
      </c>
      <c r="K28" s="53"/>
      <c r="L28" s="54" t="s">
        <v>53</v>
      </c>
      <c r="M28" s="53">
        <v>0.30399999999999999</v>
      </c>
      <c r="N28" s="53"/>
      <c r="O28" s="54" t="s">
        <v>53</v>
      </c>
      <c r="P28" s="55">
        <f t="shared" si="0"/>
        <v>0.88300000000000001</v>
      </c>
      <c r="Q28" s="55">
        <f t="shared" si="1"/>
        <v>0.88300000000000001</v>
      </c>
      <c r="R28" s="46">
        <f t="shared" si="2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>
      <c r="A29" s="113">
        <v>104</v>
      </c>
      <c r="B29" s="114"/>
      <c r="C29" s="119" t="s">
        <v>100</v>
      </c>
      <c r="D29" s="120"/>
      <c r="E29" s="121"/>
      <c r="F29" s="56"/>
      <c r="G29" s="60"/>
      <c r="H29" s="58"/>
      <c r="I29" s="59"/>
      <c r="J29" s="60"/>
      <c r="K29" s="58"/>
      <c r="L29" s="59"/>
      <c r="M29" s="60">
        <v>12.462</v>
      </c>
      <c r="N29" s="58"/>
      <c r="O29" s="49" t="s">
        <v>55</v>
      </c>
      <c r="P29" s="61">
        <f t="shared" si="0"/>
        <v>12.462</v>
      </c>
      <c r="Q29" s="61">
        <f t="shared" si="1"/>
        <v>12.462</v>
      </c>
      <c r="R29" s="62">
        <f t="shared" si="2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>
      <c r="A30" s="115"/>
      <c r="B30" s="116"/>
      <c r="C30" s="122" t="s">
        <v>102</v>
      </c>
      <c r="D30" s="123"/>
      <c r="E30" s="124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50">
        <f t="shared" si="0"/>
        <v>0</v>
      </c>
      <c r="Q30" s="50">
        <f t="shared" si="1"/>
        <v>0</v>
      </c>
      <c r="R30" s="51">
        <f t="shared" si="2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>
      <c r="A31" s="115"/>
      <c r="B31" s="116"/>
      <c r="C31" s="122" t="s">
        <v>101</v>
      </c>
      <c r="D31" s="123"/>
      <c r="E31" s="124"/>
      <c r="F31" s="47"/>
      <c r="G31" s="48"/>
      <c r="H31" s="48"/>
      <c r="I31" s="49"/>
      <c r="J31" s="48"/>
      <c r="K31" s="48"/>
      <c r="L31" s="49"/>
      <c r="M31" s="48">
        <v>2.4670000000000001</v>
      </c>
      <c r="N31" s="48"/>
      <c r="O31" s="49" t="s">
        <v>58</v>
      </c>
      <c r="P31" s="50">
        <f t="shared" si="0"/>
        <v>2.4670000000000001</v>
      </c>
      <c r="Q31" s="50">
        <f t="shared" si="1"/>
        <v>2.4670000000000001</v>
      </c>
      <c r="R31" s="51">
        <f t="shared" si="2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>
      <c r="A32" s="115"/>
      <c r="B32" s="116"/>
      <c r="C32" s="122" t="s">
        <v>103</v>
      </c>
      <c r="D32" s="123"/>
      <c r="E32" s="124"/>
      <c r="F32" s="47"/>
      <c r="G32" s="48">
        <v>10.039999999999999</v>
      </c>
      <c r="H32" s="48"/>
      <c r="I32" s="49" t="s">
        <v>60</v>
      </c>
      <c r="J32" s="48"/>
      <c r="K32" s="48"/>
      <c r="L32" s="49" t="s">
        <v>60</v>
      </c>
      <c r="M32" s="49"/>
      <c r="N32" s="48"/>
      <c r="O32" s="49" t="s">
        <v>60</v>
      </c>
      <c r="P32" s="50">
        <f t="shared" si="0"/>
        <v>10.039999999999999</v>
      </c>
      <c r="Q32" s="50">
        <f t="shared" si="1"/>
        <v>10.039999999999999</v>
      </c>
      <c r="R32" s="51">
        <f t="shared" si="2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>
      <c r="A33" s="117"/>
      <c r="B33" s="118"/>
      <c r="C33" s="125" t="s">
        <v>104</v>
      </c>
      <c r="D33" s="126"/>
      <c r="E33" s="127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72">
        <f>G33+J33+M33</f>
        <v>0</v>
      </c>
      <c r="Q33" s="72">
        <f>P33</f>
        <v>0</v>
      </c>
      <c r="R33" s="73">
        <f t="shared" si="2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/>
    <row r="35" spans="1:26" ht="14.1" customHeight="1"/>
    <row r="36" spans="1:26" ht="14.1" customHeight="1"/>
    <row r="37" spans="1:26" ht="14.1" customHeight="1"/>
    <row r="38" spans="1:26" ht="14.1" customHeight="1"/>
    <row r="39" spans="1:26" ht="14.1" customHeight="1"/>
    <row r="40" spans="1:26" ht="14.1" customHeight="1"/>
    <row r="41" spans="1:26" ht="14.1" customHeight="1"/>
    <row r="42" spans="1:26" ht="14.1" customHeight="1"/>
    <row r="43" spans="1:26" ht="14.1" customHeight="1"/>
    <row r="44" spans="1:26" ht="14.1" customHeight="1"/>
    <row r="45" spans="1:26" ht="14.1" customHeight="1"/>
    <row r="46" spans="1:26" ht="14.1" customHeight="1"/>
    <row r="47" spans="1:26" ht="14.1" customHeight="1"/>
    <row r="48" spans="1:26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  <row r="58" ht="14.1" customHeight="1"/>
    <row r="59" ht="14.1" customHeight="1"/>
    <row r="60" ht="14.1" customHeight="1"/>
    <row r="61" ht="14.1" customHeight="1"/>
    <row r="62" ht="14.1" customHeight="1"/>
    <row r="63" ht="14.1" customHeight="1"/>
    <row r="64" ht="14.1" customHeight="1"/>
    <row r="65" ht="14.1" customHeight="1"/>
    <row r="66" ht="14.1" customHeight="1"/>
    <row r="67" ht="14.1" customHeight="1"/>
    <row r="68" ht="14.1" customHeight="1"/>
    <row r="69" ht="14.1" customHeight="1"/>
    <row r="70" ht="14.1" customHeight="1"/>
    <row r="71" ht="14.1" customHeight="1"/>
    <row r="72" ht="14.1" customHeight="1"/>
    <row r="73" ht="14.1" customHeight="1"/>
    <row r="74" ht="14.1" customHeight="1"/>
    <row r="75" ht="14.1" customHeight="1"/>
    <row r="76" ht="14.1" customHeight="1"/>
    <row r="77" ht="15" customHeight="1"/>
    <row r="78" ht="15" customHeight="1"/>
    <row r="79" ht="12.95" customHeight="1"/>
    <row r="80" ht="14.1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4.1" customHeight="1"/>
    <row r="118" ht="11.25" customHeight="1"/>
    <row r="119" ht="12" customHeight="1"/>
    <row r="120" ht="14.25" customHeight="1"/>
    <row r="121" ht="14.25" customHeight="1"/>
    <row r="122" ht="12" customHeight="1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2">
    <dataValidation type="list" allowBlank="1" showInputMessage="1" showErrorMessage="1" sqref="D5" xr:uid="{D347FEBB-745E-471E-8CCF-F8CA78FBDD15}">
      <formula1>"January, February, March, April, May, June, July, August, September, October, November, December"</formula1>
    </dataValidation>
    <dataValidation type="textLength" operator="equal" allowBlank="1" showInputMessage="1" showErrorMessage="1" error="No Data Entry" sqref="H23 K23 K12:K13 H12:H13 H15:H21 H25:H28 H30:H33 K15:K21 K25:K28 K30:K33 N23 N12:N13 N15:N21 N25:N28 N30:N33" xr:uid="{4796B9B7-A728-4717-B2B8-15A6A493A645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116</xdr:row>
                    <xdr:rowOff>9525</xdr:rowOff>
                  </from>
                  <to>
                    <xdr:col>17</xdr:col>
                    <xdr:colOff>257175</xdr:colOff>
                    <xdr:row>117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Button 2">
              <controlPr defaultSize="0" print="0" autoFill="0" autoPict="0" macro="[0]!ClearName_Click">
                <anchor moveWithCells="1">
                  <from>
                    <xdr:col>0</xdr:col>
                    <xdr:colOff>0</xdr:colOff>
                    <xdr:row>124</xdr:row>
                    <xdr:rowOff>47625</xdr:rowOff>
                  </from>
                  <to>
                    <xdr:col>2</xdr:col>
                    <xdr:colOff>533400</xdr:colOff>
                    <xdr:row>126</xdr:row>
                    <xdr:rowOff>123825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728CD-439E-4DC9-A590-565E830B9E08}">
  <sheetPr codeName="Sheet5"/>
  <dimension ref="A1:Z126"/>
  <sheetViews>
    <sheetView showGridLines="0" zoomScale="85" zoomScaleNormal="85" zoomScaleSheetLayoutView="113" workbookViewId="0">
      <selection activeCell="A11" sqref="A11:E33"/>
    </sheetView>
  </sheetViews>
  <sheetFormatPr defaultColWidth="10.140625" defaultRowHeight="1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7.8554687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6" width="8.42578125" customWidth="1"/>
    <col min="17" max="17" width="9.42578125" customWidth="1"/>
    <col min="18" max="18" width="8.42578125" customWidth="1"/>
    <col min="27" max="16384" width="10.140625" style="9"/>
  </cols>
  <sheetData>
    <row r="1" spans="1:26" ht="15" customHeight="1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>
      <c r="A2" s="10"/>
      <c r="B2" s="10"/>
      <c r="C2" s="10"/>
      <c r="D2" s="10"/>
      <c r="E2" s="10"/>
      <c r="F2" s="10"/>
      <c r="G2" s="173"/>
      <c r="H2" s="173"/>
      <c r="I2" s="173"/>
      <c r="J2" s="173"/>
      <c r="K2" s="173"/>
      <c r="L2" s="173"/>
      <c r="M2" s="10"/>
      <c r="N2" s="11"/>
      <c r="O2" s="174"/>
      <c r="P2" s="174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>
      <c r="A3" s="10"/>
      <c r="B3" s="10"/>
      <c r="C3" s="10"/>
      <c r="D3" s="10"/>
      <c r="E3" s="10"/>
      <c r="F3" s="10"/>
      <c r="G3" s="173"/>
      <c r="H3" s="173"/>
      <c r="I3" s="173"/>
      <c r="J3" s="173"/>
      <c r="K3" s="173"/>
      <c r="L3" s="173"/>
      <c r="M3" s="10"/>
      <c r="N3" s="11"/>
      <c r="O3" s="174"/>
      <c r="P3" s="174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>
      <c r="A4" s="10"/>
      <c r="B4" s="10"/>
      <c r="C4" s="10"/>
      <c r="D4" s="10"/>
      <c r="E4" s="10"/>
      <c r="F4" s="10"/>
      <c r="G4" s="173"/>
      <c r="H4" s="173"/>
      <c r="I4" s="173"/>
      <c r="J4" s="173"/>
      <c r="K4" s="173"/>
      <c r="L4" s="173"/>
      <c r="M4" s="10"/>
      <c r="N4" s="11"/>
      <c r="O4" s="174"/>
      <c r="P4" s="174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>
      <c r="A5" s="169" t="s">
        <v>8</v>
      </c>
      <c r="B5" s="169"/>
      <c r="C5" s="16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>
      <c r="A6" s="169" t="s">
        <v>10</v>
      </c>
      <c r="B6" s="169"/>
      <c r="C6" s="169"/>
      <c r="D6" s="179">
        <f>'01'!D6+1</f>
        <v>46055</v>
      </c>
      <c r="E6" s="179"/>
      <c r="F6" s="28"/>
      <c r="G6" s="171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>
      <c r="A8" s="175" t="s">
        <v>11</v>
      </c>
      <c r="B8" s="175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9"/>
      <c r="T8" s="9"/>
      <c r="U8" s="9"/>
      <c r="V8" s="9"/>
      <c r="W8" s="9"/>
      <c r="X8" s="9"/>
      <c r="Y8" s="9"/>
      <c r="Z8" s="9"/>
    </row>
    <row r="9" spans="1:26" ht="24.95" customHeight="1">
      <c r="A9" s="158" t="s">
        <v>12</v>
      </c>
      <c r="B9" s="159"/>
      <c r="C9" s="162" t="s">
        <v>13</v>
      </c>
      <c r="D9" s="162"/>
      <c r="E9" s="176"/>
      <c r="F9" s="22" t="s">
        <v>14</v>
      </c>
      <c r="G9" s="178" t="s">
        <v>15</v>
      </c>
      <c r="H9" s="167"/>
      <c r="I9" s="22" t="s">
        <v>16</v>
      </c>
      <c r="J9" s="178" t="s">
        <v>17</v>
      </c>
      <c r="K9" s="167"/>
      <c r="L9" s="22" t="s">
        <v>16</v>
      </c>
      <c r="M9" s="178" t="s">
        <v>18</v>
      </c>
      <c r="N9" s="167"/>
      <c r="O9" s="22" t="s">
        <v>16</v>
      </c>
      <c r="P9" s="167" t="s">
        <v>19</v>
      </c>
      <c r="Q9" s="167" t="s">
        <v>20</v>
      </c>
      <c r="R9" s="29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>
      <c r="A10" s="160"/>
      <c r="B10" s="161"/>
      <c r="C10" s="164"/>
      <c r="D10" s="164"/>
      <c r="E10" s="177"/>
      <c r="F10" s="25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68"/>
      <c r="Q10" s="168"/>
      <c r="R10" s="30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>
      <c r="A11" s="137">
        <v>101</v>
      </c>
      <c r="B11" s="138"/>
      <c r="C11" s="139" t="s">
        <v>83</v>
      </c>
      <c r="D11" s="139"/>
      <c r="E11" s="140"/>
      <c r="F11" s="74">
        <v>60</v>
      </c>
      <c r="G11" s="60"/>
      <c r="H11" s="75"/>
      <c r="I11" s="59"/>
      <c r="J11" s="76"/>
      <c r="K11" s="58"/>
      <c r="L11" s="77"/>
      <c r="M11" s="76"/>
      <c r="N11" s="58"/>
      <c r="O11" s="77"/>
      <c r="P11" s="61">
        <f>G11+J11+M11</f>
        <v>0</v>
      </c>
      <c r="Q11" s="61">
        <f>'01'!Q11+P11</f>
        <v>0</v>
      </c>
      <c r="R11" s="78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>
      <c r="A12" s="135"/>
      <c r="B12" s="136"/>
      <c r="C12" s="141" t="s">
        <v>84</v>
      </c>
      <c r="D12" s="141"/>
      <c r="E12" s="142"/>
      <c r="F12" s="79">
        <v>30</v>
      </c>
      <c r="G12" s="48"/>
      <c r="H12" s="80"/>
      <c r="I12" s="49"/>
      <c r="J12" s="81"/>
      <c r="K12" s="48"/>
      <c r="L12" s="82"/>
      <c r="M12" s="81"/>
      <c r="N12" s="48"/>
      <c r="O12" s="82"/>
      <c r="P12" s="50">
        <f t="shared" ref="P12:P32" si="0">G12+J12+M12</f>
        <v>0</v>
      </c>
      <c r="Q12" s="50">
        <f>'01'!Q12+P12</f>
        <v>0</v>
      </c>
      <c r="R12" s="83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>
      <c r="A13" s="130"/>
      <c r="B13" s="131"/>
      <c r="C13" s="143" t="s">
        <v>85</v>
      </c>
      <c r="D13" s="143"/>
      <c r="E13" s="144"/>
      <c r="F13" s="84">
        <v>30</v>
      </c>
      <c r="G13" s="53"/>
      <c r="H13" s="85"/>
      <c r="I13" s="54"/>
      <c r="J13" s="86"/>
      <c r="K13" s="53"/>
      <c r="L13" s="87"/>
      <c r="M13" s="86"/>
      <c r="N13" s="53"/>
      <c r="O13" s="87"/>
      <c r="P13" s="55">
        <f t="shared" si="0"/>
        <v>0</v>
      </c>
      <c r="Q13" s="55">
        <f>'01'!Q13+P13</f>
        <v>0</v>
      </c>
      <c r="R13" s="88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>
      <c r="A14" s="128">
        <v>102</v>
      </c>
      <c r="B14" s="145"/>
      <c r="C14" s="148" t="s">
        <v>86</v>
      </c>
      <c r="D14" s="149"/>
      <c r="E14" s="150"/>
      <c r="F14" s="74">
        <v>40</v>
      </c>
      <c r="G14" s="57">
        <v>6.51</v>
      </c>
      <c r="H14" s="75"/>
      <c r="I14" s="59" t="s">
        <v>62</v>
      </c>
      <c r="J14" s="76">
        <v>15.932</v>
      </c>
      <c r="K14" s="58"/>
      <c r="L14" s="59" t="s">
        <v>62</v>
      </c>
      <c r="M14" s="76">
        <v>15.268000000000001</v>
      </c>
      <c r="N14" s="58"/>
      <c r="O14" s="59" t="s">
        <v>62</v>
      </c>
      <c r="P14" s="61">
        <f t="shared" si="0"/>
        <v>37.71</v>
      </c>
      <c r="Q14" s="61">
        <f>'01'!Q14+P14</f>
        <v>37.71</v>
      </c>
      <c r="R14" s="78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>
      <c r="A15" s="146"/>
      <c r="B15" s="147"/>
      <c r="C15" s="151" t="s">
        <v>87</v>
      </c>
      <c r="D15" s="152"/>
      <c r="E15" s="153"/>
      <c r="F15" s="79">
        <v>40</v>
      </c>
      <c r="G15" s="48"/>
      <c r="H15" s="80"/>
      <c r="I15" s="49"/>
      <c r="J15" s="81"/>
      <c r="K15" s="48"/>
      <c r="L15" s="49"/>
      <c r="M15" s="81"/>
      <c r="N15" s="48"/>
      <c r="O15" s="49"/>
      <c r="P15" s="50">
        <f t="shared" si="0"/>
        <v>0</v>
      </c>
      <c r="Q15" s="50">
        <f>'01'!Q15+P15</f>
        <v>0</v>
      </c>
      <c r="R15" s="83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>
      <c r="A16" s="146"/>
      <c r="B16" s="147"/>
      <c r="C16" s="154" t="s">
        <v>88</v>
      </c>
      <c r="D16" s="155"/>
      <c r="E16" s="156"/>
      <c r="F16" s="79">
        <f>F14*(2/100)</f>
        <v>0.8</v>
      </c>
      <c r="G16" s="48">
        <v>0.77339999999999998</v>
      </c>
      <c r="H16" s="80"/>
      <c r="I16" s="49" t="s">
        <v>63</v>
      </c>
      <c r="J16" s="81">
        <v>0.4919</v>
      </c>
      <c r="K16" s="48"/>
      <c r="L16" s="49" t="s">
        <v>63</v>
      </c>
      <c r="M16" s="81">
        <v>0.66600000000000004</v>
      </c>
      <c r="N16" s="48"/>
      <c r="O16" s="49" t="s">
        <v>63</v>
      </c>
      <c r="P16" s="50">
        <f t="shared" si="0"/>
        <v>1.9312999999999998</v>
      </c>
      <c r="Q16" s="50">
        <f>'01'!Q16+P16</f>
        <v>1.9312999999999998</v>
      </c>
      <c r="R16" s="83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>
      <c r="A17" s="146"/>
      <c r="B17" s="147"/>
      <c r="C17" s="122" t="s">
        <v>89</v>
      </c>
      <c r="D17" s="123"/>
      <c r="E17" s="124"/>
      <c r="F17" s="79">
        <f>F14*12/100</f>
        <v>4.8</v>
      </c>
      <c r="G17" s="48">
        <v>0.22700000000000001</v>
      </c>
      <c r="H17" s="80"/>
      <c r="I17" s="49" t="s">
        <v>64</v>
      </c>
      <c r="J17" s="81">
        <v>0</v>
      </c>
      <c r="K17" s="48"/>
      <c r="L17" s="49" t="s">
        <v>64</v>
      </c>
      <c r="M17" s="81">
        <v>0</v>
      </c>
      <c r="N17" s="48"/>
      <c r="O17" s="49" t="s">
        <v>64</v>
      </c>
      <c r="P17" s="50">
        <f t="shared" si="0"/>
        <v>0.22700000000000001</v>
      </c>
      <c r="Q17" s="50">
        <f>'01'!Q17+P17</f>
        <v>0.22700000000000001</v>
      </c>
      <c r="R17" s="83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>
      <c r="A18" s="146"/>
      <c r="B18" s="147"/>
      <c r="C18" s="122" t="s">
        <v>90</v>
      </c>
      <c r="D18" s="123"/>
      <c r="E18" s="124"/>
      <c r="F18" s="79" t="s">
        <v>35</v>
      </c>
      <c r="G18" s="48">
        <v>4.93</v>
      </c>
      <c r="H18" s="80"/>
      <c r="I18" s="49" t="s">
        <v>65</v>
      </c>
      <c r="J18" s="81">
        <v>14.098000000000001</v>
      </c>
      <c r="K18" s="48"/>
      <c r="L18" s="49" t="s">
        <v>65</v>
      </c>
      <c r="M18" s="81">
        <v>14.061999999999999</v>
      </c>
      <c r="N18" s="48"/>
      <c r="O18" s="49" t="s">
        <v>65</v>
      </c>
      <c r="P18" s="50">
        <f t="shared" si="0"/>
        <v>33.089999999999996</v>
      </c>
      <c r="Q18" s="50">
        <f>'01'!Q18+P18</f>
        <v>33.089999999999996</v>
      </c>
      <c r="R18" s="83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>
      <c r="A19" s="146"/>
      <c r="B19" s="147"/>
      <c r="C19" s="122" t="s">
        <v>91</v>
      </c>
      <c r="D19" s="123"/>
      <c r="E19" s="124"/>
      <c r="F19" s="79" t="s">
        <v>35</v>
      </c>
      <c r="G19" s="48"/>
      <c r="H19" s="80"/>
      <c r="I19" s="49"/>
      <c r="J19" s="81"/>
      <c r="K19" s="48"/>
      <c r="L19" s="49"/>
      <c r="M19" s="81"/>
      <c r="N19" s="48"/>
      <c r="O19" s="49"/>
      <c r="P19" s="50">
        <f t="shared" si="0"/>
        <v>0</v>
      </c>
      <c r="Q19" s="50">
        <f>'01'!Q19+P19</f>
        <v>0</v>
      </c>
      <c r="R19" s="83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>
      <c r="A20" s="146"/>
      <c r="B20" s="147"/>
      <c r="C20" s="122" t="s">
        <v>92</v>
      </c>
      <c r="D20" s="123"/>
      <c r="E20" s="124"/>
      <c r="F20" s="79" t="s">
        <v>35</v>
      </c>
      <c r="G20" s="48">
        <v>0</v>
      </c>
      <c r="H20" s="80"/>
      <c r="I20" s="49"/>
      <c r="J20" s="81">
        <v>0</v>
      </c>
      <c r="K20" s="48"/>
      <c r="L20" s="49"/>
      <c r="M20" s="81">
        <v>0</v>
      </c>
      <c r="N20" s="48"/>
      <c r="O20" s="49" t="s">
        <v>51</v>
      </c>
      <c r="P20" s="50">
        <f t="shared" si="0"/>
        <v>0</v>
      </c>
      <c r="Q20" s="50">
        <f>'01'!Q20+P20</f>
        <v>0</v>
      </c>
      <c r="R20" s="83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>
      <c r="A21" s="130"/>
      <c r="B21" s="131"/>
      <c r="C21" s="132" t="s">
        <v>93</v>
      </c>
      <c r="D21" s="133"/>
      <c r="E21" s="134"/>
      <c r="F21" s="84">
        <f>F14*(0.5/100)</f>
        <v>0.2</v>
      </c>
      <c r="G21" s="53">
        <v>0.23810000000000001</v>
      </c>
      <c r="H21" s="85"/>
      <c r="I21" s="54" t="s">
        <v>66</v>
      </c>
      <c r="J21" s="86">
        <v>0.43519999999999998</v>
      </c>
      <c r="K21" s="53"/>
      <c r="L21" s="54" t="s">
        <v>66</v>
      </c>
      <c r="M21" s="86">
        <v>0.53200000000000003</v>
      </c>
      <c r="N21" s="53"/>
      <c r="O21" s="54" t="s">
        <v>66</v>
      </c>
      <c r="P21" s="55">
        <f t="shared" si="0"/>
        <v>1.2053</v>
      </c>
      <c r="Q21" s="55">
        <f>'01'!Q21+P21</f>
        <v>1.2053</v>
      </c>
      <c r="R21" s="88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>
      <c r="A22" s="128" t="s">
        <v>105</v>
      </c>
      <c r="B22" s="129"/>
      <c r="C22" s="119" t="s">
        <v>94</v>
      </c>
      <c r="D22" s="120"/>
      <c r="E22" s="121"/>
      <c r="F22" s="74">
        <v>24</v>
      </c>
      <c r="G22" s="60">
        <v>8.8170000000000002</v>
      </c>
      <c r="H22" s="75"/>
      <c r="I22" s="65" t="s">
        <v>41</v>
      </c>
      <c r="J22" s="76">
        <v>8.8130000000000006</v>
      </c>
      <c r="K22" s="58"/>
      <c r="L22" s="65" t="s">
        <v>41</v>
      </c>
      <c r="M22" s="76">
        <v>8.8119999999999994</v>
      </c>
      <c r="N22" s="58"/>
      <c r="O22" s="65" t="s">
        <v>41</v>
      </c>
      <c r="P22" s="61">
        <f t="shared" si="0"/>
        <v>26.442</v>
      </c>
      <c r="Q22" s="61">
        <f>'01'!Q22+P22</f>
        <v>52.894999999999996</v>
      </c>
      <c r="R22" s="78">
        <f t="shared" si="1"/>
        <v>0</v>
      </c>
      <c r="S22" s="9"/>
      <c r="T22" s="9"/>
      <c r="U22" s="89"/>
      <c r="V22" s="9"/>
      <c r="W22" s="9"/>
      <c r="X22" s="9"/>
      <c r="Y22" s="9"/>
      <c r="Z22" s="9"/>
    </row>
    <row r="23" spans="1:26" ht="14.1" customHeight="1">
      <c r="A23" s="130"/>
      <c r="B23" s="131"/>
      <c r="C23" s="132" t="s">
        <v>95</v>
      </c>
      <c r="D23" s="133"/>
      <c r="E23" s="134"/>
      <c r="F23" s="84">
        <v>24</v>
      </c>
      <c r="G23" s="53">
        <v>8.3260000000000005</v>
      </c>
      <c r="H23" s="85"/>
      <c r="I23" s="66" t="s">
        <v>43</v>
      </c>
      <c r="J23" s="86">
        <v>7.0049999999999999</v>
      </c>
      <c r="K23" s="53"/>
      <c r="L23" s="66" t="s">
        <v>43</v>
      </c>
      <c r="M23" s="86">
        <v>9.5790000000000006</v>
      </c>
      <c r="N23" s="53"/>
      <c r="O23" s="66" t="s">
        <v>43</v>
      </c>
      <c r="P23" s="55">
        <f t="shared" si="0"/>
        <v>24.91</v>
      </c>
      <c r="Q23" s="55">
        <f>'01'!Q23+P23</f>
        <v>50.849000000000004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>
      <c r="A24" s="128" t="s">
        <v>106</v>
      </c>
      <c r="B24" s="129"/>
      <c r="C24" s="119" t="s">
        <v>96</v>
      </c>
      <c r="D24" s="120"/>
      <c r="E24" s="121"/>
      <c r="F24" s="74">
        <v>24</v>
      </c>
      <c r="G24" s="60">
        <v>8.7910000000000004</v>
      </c>
      <c r="H24" s="75"/>
      <c r="I24" s="59" t="s">
        <v>43</v>
      </c>
      <c r="J24" s="76">
        <v>8.7910000000000004</v>
      </c>
      <c r="K24" s="58"/>
      <c r="L24" s="59" t="s">
        <v>43</v>
      </c>
      <c r="M24" s="76">
        <v>8.8450000000000006</v>
      </c>
      <c r="N24" s="58"/>
      <c r="O24" s="59" t="s">
        <v>43</v>
      </c>
      <c r="P24" s="61">
        <f t="shared" si="0"/>
        <v>26.427</v>
      </c>
      <c r="Q24" s="61">
        <f>'01'!Q24+P24</f>
        <v>52.652999999999999</v>
      </c>
      <c r="R24" s="78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>
      <c r="A25" s="135"/>
      <c r="B25" s="136"/>
      <c r="C25" s="122" t="s">
        <v>46</v>
      </c>
      <c r="D25" s="123"/>
      <c r="E25" s="124"/>
      <c r="F25" s="79" t="s">
        <v>35</v>
      </c>
      <c r="G25" s="48">
        <v>0.15379999999999999</v>
      </c>
      <c r="H25" s="80"/>
      <c r="I25" s="49" t="s">
        <v>47</v>
      </c>
      <c r="J25" s="81">
        <v>0.1537</v>
      </c>
      <c r="K25" s="48"/>
      <c r="L25" s="49" t="s">
        <v>47</v>
      </c>
      <c r="M25" s="81">
        <v>0.152</v>
      </c>
      <c r="N25" s="48"/>
      <c r="O25" s="49" t="s">
        <v>47</v>
      </c>
      <c r="P25" s="50">
        <f t="shared" si="0"/>
        <v>0.45950000000000002</v>
      </c>
      <c r="Q25" s="50">
        <f>'01'!Q25+P25</f>
        <v>0.9214</v>
      </c>
      <c r="R25" s="83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>
      <c r="A26" s="135"/>
      <c r="B26" s="136"/>
      <c r="C26" s="122" t="s">
        <v>97</v>
      </c>
      <c r="D26" s="123"/>
      <c r="E26" s="124"/>
      <c r="F26" s="79" t="s">
        <v>35</v>
      </c>
      <c r="G26" s="48">
        <v>8.3510000000000009</v>
      </c>
      <c r="H26" s="80"/>
      <c r="I26" s="49" t="s">
        <v>49</v>
      </c>
      <c r="J26" s="81">
        <v>8.35</v>
      </c>
      <c r="K26" s="48"/>
      <c r="L26" s="49" t="s">
        <v>49</v>
      </c>
      <c r="M26" s="81">
        <v>8.3520000000000003</v>
      </c>
      <c r="N26" s="48"/>
      <c r="O26" s="49" t="s">
        <v>49</v>
      </c>
      <c r="P26" s="50">
        <f t="shared" si="0"/>
        <v>25.053000000000001</v>
      </c>
      <c r="Q26" s="50">
        <f>'01'!Q26+P26</f>
        <v>49.930999999999997</v>
      </c>
      <c r="R26" s="83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>
      <c r="A27" s="135"/>
      <c r="B27" s="136"/>
      <c r="C27" s="122" t="s">
        <v>98</v>
      </c>
      <c r="D27" s="123"/>
      <c r="E27" s="124"/>
      <c r="F27" s="79" t="s">
        <v>35</v>
      </c>
      <c r="G27" s="48">
        <v>0</v>
      </c>
      <c r="H27" s="80"/>
      <c r="I27" s="49" t="s">
        <v>51</v>
      </c>
      <c r="J27" s="81">
        <v>0</v>
      </c>
      <c r="K27" s="48"/>
      <c r="L27" s="49" t="s">
        <v>51</v>
      </c>
      <c r="M27" s="81">
        <v>0</v>
      </c>
      <c r="N27" s="48"/>
      <c r="O27" s="49" t="s">
        <v>51</v>
      </c>
      <c r="P27" s="50">
        <f t="shared" si="0"/>
        <v>0</v>
      </c>
      <c r="Q27" s="50">
        <f>'01'!Q27+P27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>
      <c r="A28" s="130"/>
      <c r="B28" s="131"/>
      <c r="C28" s="132" t="s">
        <v>99</v>
      </c>
      <c r="D28" s="133"/>
      <c r="E28" s="134"/>
      <c r="F28" s="84" t="s">
        <v>35</v>
      </c>
      <c r="G28" s="53">
        <v>0.30399999999999999</v>
      </c>
      <c r="H28" s="85"/>
      <c r="I28" s="54" t="s">
        <v>53</v>
      </c>
      <c r="J28" s="86">
        <v>0.30509999999999998</v>
      </c>
      <c r="K28" s="53"/>
      <c r="L28" s="54" t="s">
        <v>53</v>
      </c>
      <c r="M28" s="86">
        <v>0.30599999999999999</v>
      </c>
      <c r="N28" s="53"/>
      <c r="O28" s="54" t="s">
        <v>53</v>
      </c>
      <c r="P28" s="55">
        <f t="shared" si="0"/>
        <v>0.91510000000000002</v>
      </c>
      <c r="Q28" s="55">
        <f>'01'!Q28+P28</f>
        <v>1.7981</v>
      </c>
      <c r="R28" s="88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>
      <c r="A29" s="113">
        <v>104</v>
      </c>
      <c r="B29" s="114"/>
      <c r="C29" s="119" t="s">
        <v>100</v>
      </c>
      <c r="D29" s="120"/>
      <c r="E29" s="121"/>
      <c r="F29" s="74"/>
      <c r="G29" s="60"/>
      <c r="H29" s="75"/>
      <c r="I29" s="59"/>
      <c r="J29" s="76"/>
      <c r="K29" s="58"/>
      <c r="L29" s="77"/>
      <c r="M29" s="76"/>
      <c r="N29" s="58"/>
      <c r="O29" s="77"/>
      <c r="P29" s="61">
        <f t="shared" si="0"/>
        <v>0</v>
      </c>
      <c r="Q29" s="61">
        <f>'01'!Q29+P29</f>
        <v>12.462</v>
      </c>
      <c r="R29" s="78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>
      <c r="A30" s="115"/>
      <c r="B30" s="116"/>
      <c r="C30" s="122" t="s">
        <v>102</v>
      </c>
      <c r="D30" s="123"/>
      <c r="E30" s="124"/>
      <c r="F30" s="79"/>
      <c r="G30" s="48"/>
      <c r="H30" s="80"/>
      <c r="I30" s="49"/>
      <c r="J30" s="81"/>
      <c r="K30" s="48"/>
      <c r="L30" s="82"/>
      <c r="M30" s="81"/>
      <c r="N30" s="48"/>
      <c r="O30" s="82"/>
      <c r="P30" s="50">
        <f t="shared" si="0"/>
        <v>0</v>
      </c>
      <c r="Q30" s="50">
        <f>'01'!Q30+P30</f>
        <v>0</v>
      </c>
      <c r="R30" s="83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>
      <c r="A31" s="115"/>
      <c r="B31" s="116"/>
      <c r="C31" s="122" t="s">
        <v>101</v>
      </c>
      <c r="D31" s="123"/>
      <c r="E31" s="124"/>
      <c r="F31" s="79"/>
      <c r="G31" s="48"/>
      <c r="H31" s="80"/>
      <c r="I31" s="49"/>
      <c r="J31" s="81"/>
      <c r="K31" s="48"/>
      <c r="L31" s="82"/>
      <c r="M31" s="81"/>
      <c r="N31" s="48"/>
      <c r="O31" s="82"/>
      <c r="P31" s="50">
        <f t="shared" si="0"/>
        <v>0</v>
      </c>
      <c r="Q31" s="50">
        <f>'01'!Q31+P31</f>
        <v>2.4670000000000001</v>
      </c>
      <c r="R31" s="83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>
      <c r="A32" s="115"/>
      <c r="B32" s="116"/>
      <c r="C32" s="122" t="s">
        <v>103</v>
      </c>
      <c r="D32" s="123"/>
      <c r="E32" s="124"/>
      <c r="F32" s="79"/>
      <c r="G32" s="48"/>
      <c r="H32" s="80"/>
      <c r="I32" s="54" t="s">
        <v>60</v>
      </c>
      <c r="J32" s="81">
        <v>0.97299999999999998</v>
      </c>
      <c r="K32" s="48"/>
      <c r="L32" s="54" t="s">
        <v>60</v>
      </c>
      <c r="M32" s="90">
        <v>12.005000000000001</v>
      </c>
      <c r="N32" s="48"/>
      <c r="O32" s="54" t="s">
        <v>60</v>
      </c>
      <c r="P32" s="50">
        <f t="shared" si="0"/>
        <v>12.978000000000002</v>
      </c>
      <c r="Q32" s="50">
        <f>'01'!Q32+P32</f>
        <v>23.018000000000001</v>
      </c>
      <c r="R32" s="83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>
      <c r="A33" s="117"/>
      <c r="B33" s="118"/>
      <c r="C33" s="125" t="s">
        <v>104</v>
      </c>
      <c r="D33" s="126"/>
      <c r="E33" s="127"/>
      <c r="F33" s="91"/>
      <c r="G33" s="70"/>
      <c r="H33" s="92"/>
      <c r="I33" s="71"/>
      <c r="J33" s="93"/>
      <c r="K33" s="70"/>
      <c r="L33" s="94"/>
      <c r="M33" s="93"/>
      <c r="N33" s="70"/>
      <c r="O33" s="94"/>
      <c r="P33" s="72">
        <f>G33+J33+M33</f>
        <v>0</v>
      </c>
      <c r="Q33" s="72">
        <f>'01'!Q33+P33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/>
    <row r="35" spans="1:26" ht="14.1" customHeight="1"/>
    <row r="36" spans="1:26" ht="14.1" customHeight="1"/>
    <row r="37" spans="1:26" ht="14.1" customHeight="1"/>
    <row r="38" spans="1:26" ht="14.1" customHeight="1"/>
    <row r="39" spans="1:26" ht="14.1" customHeight="1"/>
    <row r="40" spans="1:26" ht="14.1" customHeight="1"/>
    <row r="41" spans="1:26" ht="14.1" customHeight="1"/>
    <row r="42" spans="1:26" ht="14.1" customHeight="1"/>
    <row r="43" spans="1:26" ht="14.1" customHeight="1"/>
    <row r="44" spans="1:26" ht="14.1" customHeight="1"/>
    <row r="45" spans="1:26" ht="14.1" customHeight="1"/>
    <row r="46" spans="1:26" ht="14.1" customHeight="1"/>
    <row r="47" spans="1:26" ht="14.1" customHeight="1"/>
    <row r="48" spans="1:26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  <row r="58" ht="14.1" customHeight="1"/>
    <row r="59" ht="14.1" customHeight="1"/>
    <row r="60" ht="14.1" customHeight="1"/>
    <row r="61" ht="14.1" customHeight="1"/>
    <row r="62" ht="14.1" customHeight="1"/>
    <row r="63" ht="14.1" customHeight="1"/>
    <row r="64" ht="14.1" customHeight="1"/>
    <row r="65" ht="14.1" customHeight="1"/>
    <row r="66" ht="14.1" customHeight="1"/>
    <row r="67" ht="14.1" customHeight="1"/>
    <row r="68" ht="15" customHeight="1"/>
    <row r="69" ht="12.95" customHeight="1"/>
    <row r="70" ht="14.1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4.1" customHeight="1"/>
    <row r="122" ht="14.1" customHeight="1"/>
    <row r="123" ht="14.1" customHeight="1"/>
    <row r="124" ht="14.1" customHeight="1"/>
    <row r="125" ht="14.1" customHeight="1"/>
    <row r="126" ht="10.5" customHeight="1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3CD43245-889A-401C-8118-3C4CD7B72A2A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190500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190500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190500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DC4C0-D735-4D28-B88E-51CE36D9C45B}">
  <sheetPr codeName="Sheet6"/>
  <dimension ref="A1:Z126"/>
  <sheetViews>
    <sheetView showGridLines="0" zoomScale="85" zoomScaleNormal="85" zoomScaleSheetLayoutView="113" workbookViewId="0">
      <selection activeCell="A11" sqref="A11:E33"/>
    </sheetView>
  </sheetViews>
  <sheetFormatPr defaultColWidth="10.140625" defaultRowHeight="1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7.8554687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8" width="8.42578125" customWidth="1"/>
    <col min="27" max="16384" width="10.140625" style="9"/>
  </cols>
  <sheetData>
    <row r="1" spans="1:26" ht="15" customHeight="1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>
      <c r="A2" s="10"/>
      <c r="B2" s="10"/>
      <c r="C2" s="10"/>
      <c r="D2" s="10"/>
      <c r="E2" s="10"/>
      <c r="F2" s="10"/>
      <c r="G2" s="173"/>
      <c r="H2" s="173"/>
      <c r="I2" s="173"/>
      <c r="J2" s="173"/>
      <c r="K2" s="173"/>
      <c r="L2" s="173"/>
      <c r="M2" s="10"/>
      <c r="N2" s="11"/>
      <c r="O2" s="174"/>
      <c r="P2" s="174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>
      <c r="A3" s="10"/>
      <c r="B3" s="10"/>
      <c r="C3" s="10"/>
      <c r="D3" s="10"/>
      <c r="E3" s="10"/>
      <c r="F3" s="10"/>
      <c r="G3" s="173"/>
      <c r="H3" s="173"/>
      <c r="I3" s="173"/>
      <c r="J3" s="173"/>
      <c r="K3" s="173"/>
      <c r="L3" s="173"/>
      <c r="M3" s="10"/>
      <c r="N3" s="11"/>
      <c r="O3" s="174"/>
      <c r="P3" s="174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>
      <c r="A4" s="10"/>
      <c r="B4" s="10"/>
      <c r="C4" s="10"/>
      <c r="D4" s="10"/>
      <c r="E4" s="10"/>
      <c r="F4" s="10"/>
      <c r="G4" s="173"/>
      <c r="H4" s="173"/>
      <c r="I4" s="173"/>
      <c r="J4" s="173"/>
      <c r="K4" s="173"/>
      <c r="L4" s="173"/>
      <c r="M4" s="10"/>
      <c r="N4" s="11"/>
      <c r="O4" s="174"/>
      <c r="P4" s="174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>
      <c r="A5" s="169" t="s">
        <v>8</v>
      </c>
      <c r="B5" s="169"/>
      <c r="C5" s="16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>
      <c r="A6" s="169" t="s">
        <v>10</v>
      </c>
      <c r="B6" s="169"/>
      <c r="C6" s="169"/>
      <c r="D6" s="179">
        <f>'02'!D6+1</f>
        <v>46056</v>
      </c>
      <c r="E6" s="179"/>
      <c r="F6" s="28"/>
      <c r="G6" s="171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>
      <c r="A8" s="175" t="s">
        <v>11</v>
      </c>
      <c r="B8" s="175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9"/>
      <c r="T8" s="9"/>
      <c r="U8" s="9"/>
      <c r="V8" s="9"/>
      <c r="W8" s="9"/>
      <c r="X8" s="9"/>
      <c r="Y8" s="9"/>
      <c r="Z8" s="9"/>
    </row>
    <row r="9" spans="1:26" ht="24.95" customHeight="1">
      <c r="A9" s="158" t="s">
        <v>12</v>
      </c>
      <c r="B9" s="159"/>
      <c r="C9" s="162" t="s">
        <v>13</v>
      </c>
      <c r="D9" s="162"/>
      <c r="E9" s="163"/>
      <c r="F9" s="20" t="s">
        <v>14</v>
      </c>
      <c r="G9" s="166" t="s">
        <v>15</v>
      </c>
      <c r="H9" s="167"/>
      <c r="I9" s="21" t="s">
        <v>16</v>
      </c>
      <c r="J9" s="166" t="s">
        <v>17</v>
      </c>
      <c r="K9" s="167"/>
      <c r="L9" s="21" t="s">
        <v>16</v>
      </c>
      <c r="M9" s="166" t="s">
        <v>18</v>
      </c>
      <c r="N9" s="167"/>
      <c r="O9" s="22" t="s">
        <v>16</v>
      </c>
      <c r="P9" s="167" t="s">
        <v>19</v>
      </c>
      <c r="Q9" s="167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>
      <c r="A10" s="160"/>
      <c r="B10" s="161"/>
      <c r="C10" s="164"/>
      <c r="D10" s="164"/>
      <c r="E10" s="165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68"/>
      <c r="Q10" s="168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>
      <c r="A11" s="137">
        <v>101</v>
      </c>
      <c r="B11" s="138"/>
      <c r="C11" s="139" t="s">
        <v>83</v>
      </c>
      <c r="D11" s="139"/>
      <c r="E11" s="140"/>
      <c r="F11" s="41">
        <v>60</v>
      </c>
      <c r="G11" s="42"/>
      <c r="H11" s="43"/>
      <c r="I11" s="44"/>
      <c r="J11" s="42"/>
      <c r="K11" s="43"/>
      <c r="L11" s="44"/>
      <c r="M11" s="42"/>
      <c r="N11" s="43"/>
      <c r="O11" s="44"/>
      <c r="P11" s="96">
        <f>G11+J11+M11</f>
        <v>0</v>
      </c>
      <c r="Q11" s="61">
        <f>P11+'02'!Q11</f>
        <v>0</v>
      </c>
      <c r="R11" s="97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>
      <c r="A12" s="135"/>
      <c r="B12" s="136"/>
      <c r="C12" s="141" t="s">
        <v>84</v>
      </c>
      <c r="D12" s="141"/>
      <c r="E12" s="142"/>
      <c r="F12" s="47">
        <v>30</v>
      </c>
      <c r="G12" s="48"/>
      <c r="H12" s="48"/>
      <c r="I12" s="49"/>
      <c r="J12" s="48"/>
      <c r="K12" s="48"/>
      <c r="L12" s="49"/>
      <c r="M12" s="48"/>
      <c r="N12" s="48"/>
      <c r="O12" s="49"/>
      <c r="P12" s="98">
        <f t="shared" ref="P12:P32" si="0">G12+J12+M12</f>
        <v>0</v>
      </c>
      <c r="Q12" s="50">
        <f>P12+'02'!Q12</f>
        <v>0</v>
      </c>
      <c r="R12" s="99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>
      <c r="A13" s="130"/>
      <c r="B13" s="131"/>
      <c r="C13" s="143" t="s">
        <v>85</v>
      </c>
      <c r="D13" s="143"/>
      <c r="E13" s="144"/>
      <c r="F13" s="52">
        <v>30</v>
      </c>
      <c r="G13" s="53"/>
      <c r="H13" s="53"/>
      <c r="I13" s="54"/>
      <c r="J13" s="53"/>
      <c r="K13" s="53"/>
      <c r="L13" s="54"/>
      <c r="M13" s="53"/>
      <c r="N13" s="53"/>
      <c r="O13" s="54"/>
      <c r="P13" s="100">
        <f t="shared" si="0"/>
        <v>0</v>
      </c>
      <c r="Q13" s="55">
        <f>P13+'02'!Q13</f>
        <v>0</v>
      </c>
      <c r="R13" s="99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>
      <c r="A14" s="128">
        <v>102</v>
      </c>
      <c r="B14" s="145"/>
      <c r="C14" s="148" t="s">
        <v>86</v>
      </c>
      <c r="D14" s="149"/>
      <c r="E14" s="150"/>
      <c r="F14" s="56">
        <v>40</v>
      </c>
      <c r="G14" s="57">
        <v>13.106</v>
      </c>
      <c r="H14" s="58"/>
      <c r="I14" s="59" t="s">
        <v>62</v>
      </c>
      <c r="J14" s="60">
        <v>12.907</v>
      </c>
      <c r="K14" s="58"/>
      <c r="L14" s="59" t="s">
        <v>62</v>
      </c>
      <c r="M14" s="60">
        <v>13.509</v>
      </c>
      <c r="N14" s="58"/>
      <c r="O14" s="59" t="s">
        <v>62</v>
      </c>
      <c r="P14" s="101">
        <f t="shared" si="0"/>
        <v>39.521999999999998</v>
      </c>
      <c r="Q14" s="61">
        <f>P14+'02'!Q14</f>
        <v>77.231999999999999</v>
      </c>
      <c r="R14" s="102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>
      <c r="A15" s="146"/>
      <c r="B15" s="147"/>
      <c r="C15" s="151" t="s">
        <v>87</v>
      </c>
      <c r="D15" s="152"/>
      <c r="E15" s="153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98">
        <f t="shared" si="0"/>
        <v>0</v>
      </c>
      <c r="Q15" s="50">
        <f>P15+'02'!Q15</f>
        <v>0</v>
      </c>
      <c r="R15" s="97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>
      <c r="A16" s="146"/>
      <c r="B16" s="147"/>
      <c r="C16" s="154" t="s">
        <v>88</v>
      </c>
      <c r="D16" s="155"/>
      <c r="E16" s="156"/>
      <c r="F16" s="47">
        <f>F14*(2/100)</f>
        <v>0.8</v>
      </c>
      <c r="G16" s="48">
        <v>0.79959999999999998</v>
      </c>
      <c r="H16" s="48"/>
      <c r="I16" s="49" t="s">
        <v>63</v>
      </c>
      <c r="J16" s="48">
        <v>1.135</v>
      </c>
      <c r="K16" s="48"/>
      <c r="L16" s="49" t="s">
        <v>63</v>
      </c>
      <c r="M16" s="48">
        <v>1.155</v>
      </c>
      <c r="N16" s="48"/>
      <c r="O16" s="49" t="s">
        <v>63</v>
      </c>
      <c r="P16" s="98">
        <f t="shared" si="0"/>
        <v>3.0895999999999999</v>
      </c>
      <c r="Q16" s="50">
        <f>P16+'02'!Q16</f>
        <v>5.0208999999999993</v>
      </c>
      <c r="R16" s="99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>
      <c r="A17" s="146"/>
      <c r="B17" s="147"/>
      <c r="C17" s="122" t="s">
        <v>89</v>
      </c>
      <c r="D17" s="123"/>
      <c r="E17" s="124"/>
      <c r="F17" s="47">
        <f>F14*12/100</f>
        <v>4.8</v>
      </c>
      <c r="G17" s="48">
        <v>0</v>
      </c>
      <c r="H17" s="48"/>
      <c r="I17" s="49" t="s">
        <v>64</v>
      </c>
      <c r="J17" s="48">
        <v>0</v>
      </c>
      <c r="K17" s="48"/>
      <c r="L17" s="49" t="s">
        <v>64</v>
      </c>
      <c r="M17" s="48">
        <v>0</v>
      </c>
      <c r="N17" s="48"/>
      <c r="O17" s="49" t="s">
        <v>64</v>
      </c>
      <c r="P17" s="98">
        <f t="shared" si="0"/>
        <v>0</v>
      </c>
      <c r="Q17" s="50">
        <f>P17+'02'!Q17</f>
        <v>0.22700000000000001</v>
      </c>
      <c r="R17" s="99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>
      <c r="A18" s="146"/>
      <c r="B18" s="147"/>
      <c r="C18" s="122" t="s">
        <v>90</v>
      </c>
      <c r="D18" s="123"/>
      <c r="E18" s="124"/>
      <c r="F18" s="47" t="s">
        <v>35</v>
      </c>
      <c r="G18" s="48">
        <v>11.797000000000001</v>
      </c>
      <c r="H18" s="48"/>
      <c r="I18" s="49" t="s">
        <v>65</v>
      </c>
      <c r="J18" s="48">
        <v>11.911</v>
      </c>
      <c r="K18" s="48"/>
      <c r="L18" s="49" t="s">
        <v>65</v>
      </c>
      <c r="M18" s="48">
        <v>11.441000000000001</v>
      </c>
      <c r="N18" s="48"/>
      <c r="O18" s="49" t="s">
        <v>65</v>
      </c>
      <c r="P18" s="98">
        <f t="shared" si="0"/>
        <v>35.149000000000001</v>
      </c>
      <c r="Q18" s="50">
        <f>P18+'02'!Q18</f>
        <v>68.239000000000004</v>
      </c>
      <c r="R18" s="99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>
      <c r="A19" s="146"/>
      <c r="B19" s="147"/>
      <c r="C19" s="122" t="s">
        <v>91</v>
      </c>
      <c r="D19" s="123"/>
      <c r="E19" s="124"/>
      <c r="F19" s="47" t="s">
        <v>35</v>
      </c>
      <c r="G19" s="48"/>
      <c r="H19" s="48"/>
      <c r="I19" s="49"/>
      <c r="J19" s="48"/>
      <c r="K19" s="48"/>
      <c r="L19" s="49"/>
      <c r="M19" s="48"/>
      <c r="N19" s="48"/>
      <c r="O19" s="49"/>
      <c r="P19" s="98">
        <f t="shared" si="0"/>
        <v>0</v>
      </c>
      <c r="Q19" s="50">
        <f>P19+'02'!Q19</f>
        <v>0</v>
      </c>
      <c r="R19" s="99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>
      <c r="A20" s="146"/>
      <c r="B20" s="147"/>
      <c r="C20" s="122" t="s">
        <v>92</v>
      </c>
      <c r="D20" s="123"/>
      <c r="E20" s="124"/>
      <c r="F20" s="63" t="s">
        <v>35</v>
      </c>
      <c r="G20" s="48"/>
      <c r="H20" s="48"/>
      <c r="I20" s="49"/>
      <c r="J20" s="48"/>
      <c r="K20" s="48"/>
      <c r="L20" s="49"/>
      <c r="M20" s="48"/>
      <c r="N20" s="48"/>
      <c r="O20" s="49"/>
      <c r="P20" s="98">
        <f t="shared" si="0"/>
        <v>0</v>
      </c>
      <c r="Q20" s="50">
        <f>P20+'02'!Q20</f>
        <v>0</v>
      </c>
      <c r="R20" s="99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>
      <c r="A21" s="130"/>
      <c r="B21" s="131"/>
      <c r="C21" s="132" t="s">
        <v>93</v>
      </c>
      <c r="D21" s="133"/>
      <c r="E21" s="134"/>
      <c r="F21" s="52">
        <f>F14*(0.5/100)</f>
        <v>0.2</v>
      </c>
      <c r="G21" s="53">
        <v>0.49009999999999998</v>
      </c>
      <c r="H21" s="53"/>
      <c r="I21" s="54" t="s">
        <v>66</v>
      </c>
      <c r="J21" s="53">
        <v>0.438</v>
      </c>
      <c r="K21" s="53"/>
      <c r="L21" s="54" t="s">
        <v>66</v>
      </c>
      <c r="M21" s="53">
        <v>0.35399999999999998</v>
      </c>
      <c r="N21" s="53"/>
      <c r="O21" s="54" t="s">
        <v>66</v>
      </c>
      <c r="P21" s="100">
        <f t="shared" si="0"/>
        <v>1.2820999999999998</v>
      </c>
      <c r="Q21" s="55">
        <f>P21+'02'!Q21</f>
        <v>2.4874000000000001</v>
      </c>
      <c r="R21" s="99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>
      <c r="A22" s="128" t="s">
        <v>105</v>
      </c>
      <c r="B22" s="129"/>
      <c r="C22" s="119" t="s">
        <v>94</v>
      </c>
      <c r="D22" s="120"/>
      <c r="E22" s="121"/>
      <c r="F22" s="56">
        <v>24</v>
      </c>
      <c r="G22" s="60">
        <v>8.8209999999999997</v>
      </c>
      <c r="H22" s="58"/>
      <c r="I22" s="65" t="s">
        <v>41</v>
      </c>
      <c r="J22" s="60">
        <v>8.8140000000000001</v>
      </c>
      <c r="K22" s="58"/>
      <c r="L22" s="65" t="s">
        <v>41</v>
      </c>
      <c r="M22" s="60">
        <v>8.5380000000000003</v>
      </c>
      <c r="N22" s="58"/>
      <c r="O22" s="65" t="s">
        <v>41</v>
      </c>
      <c r="P22" s="101">
        <f t="shared" si="0"/>
        <v>26.172999999999998</v>
      </c>
      <c r="Q22" s="61">
        <f>P22+'02'!Q22</f>
        <v>79.067999999999998</v>
      </c>
      <c r="R22" s="102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>
      <c r="A23" s="130"/>
      <c r="B23" s="131"/>
      <c r="C23" s="132" t="s">
        <v>95</v>
      </c>
      <c r="D23" s="133"/>
      <c r="E23" s="134"/>
      <c r="F23" s="52">
        <v>24</v>
      </c>
      <c r="G23" s="53">
        <v>7.4580000000000002</v>
      </c>
      <c r="H23" s="53"/>
      <c r="I23" s="66" t="s">
        <v>43</v>
      </c>
      <c r="J23" s="53">
        <v>7.9130000000000003</v>
      </c>
      <c r="K23" s="53"/>
      <c r="L23" s="66" t="s">
        <v>43</v>
      </c>
      <c r="M23" s="53">
        <v>9.1379999999999999</v>
      </c>
      <c r="N23" s="53"/>
      <c r="O23" s="66" t="s">
        <v>43</v>
      </c>
      <c r="P23" s="100">
        <f t="shared" si="0"/>
        <v>24.509</v>
      </c>
      <c r="Q23" s="55">
        <f>P23+'02'!Q23</f>
        <v>75.358000000000004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>
      <c r="A24" s="128" t="s">
        <v>106</v>
      </c>
      <c r="B24" s="129"/>
      <c r="C24" s="119" t="s">
        <v>96</v>
      </c>
      <c r="D24" s="120"/>
      <c r="E24" s="121"/>
      <c r="F24" s="56">
        <v>24</v>
      </c>
      <c r="G24" s="60">
        <v>8.7919999999999998</v>
      </c>
      <c r="H24" s="58"/>
      <c r="I24" s="59" t="s">
        <v>43</v>
      </c>
      <c r="J24" s="60">
        <v>8.8279999999999994</v>
      </c>
      <c r="K24" s="58"/>
      <c r="L24" s="59" t="s">
        <v>43</v>
      </c>
      <c r="M24" s="60">
        <v>8.8109999999999999</v>
      </c>
      <c r="N24" s="58"/>
      <c r="O24" s="59" t="s">
        <v>43</v>
      </c>
      <c r="P24" s="101">
        <f t="shared" si="0"/>
        <v>26.430999999999997</v>
      </c>
      <c r="Q24" s="61">
        <f>P24+'02'!Q24</f>
        <v>79.084000000000003</v>
      </c>
      <c r="R24" s="97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>
      <c r="A25" s="135"/>
      <c r="B25" s="136"/>
      <c r="C25" s="122" t="s">
        <v>46</v>
      </c>
      <c r="D25" s="123"/>
      <c r="E25" s="124"/>
      <c r="F25" s="47" t="s">
        <v>35</v>
      </c>
      <c r="G25" s="48">
        <v>0.15310000000000001</v>
      </c>
      <c r="H25" s="48"/>
      <c r="I25" s="49" t="s">
        <v>47</v>
      </c>
      <c r="J25" s="48">
        <v>0.153</v>
      </c>
      <c r="K25" s="48"/>
      <c r="L25" s="49" t="s">
        <v>47</v>
      </c>
      <c r="M25" s="48">
        <v>0.152</v>
      </c>
      <c r="N25" s="48"/>
      <c r="O25" s="49" t="s">
        <v>47</v>
      </c>
      <c r="P25" s="98">
        <f t="shared" si="0"/>
        <v>0.45810000000000006</v>
      </c>
      <c r="Q25" s="50">
        <f>P25+'02'!Q25</f>
        <v>1.3795000000000002</v>
      </c>
      <c r="R25" s="99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>
      <c r="A26" s="135"/>
      <c r="B26" s="136"/>
      <c r="C26" s="122" t="s">
        <v>97</v>
      </c>
      <c r="D26" s="123"/>
      <c r="E26" s="124"/>
      <c r="F26" s="47" t="s">
        <v>35</v>
      </c>
      <c r="G26" s="48">
        <v>8.35</v>
      </c>
      <c r="H26" s="48"/>
      <c r="I26" s="49" t="s">
        <v>49</v>
      </c>
      <c r="J26" s="48">
        <v>8.3510000000000009</v>
      </c>
      <c r="K26" s="48"/>
      <c r="L26" s="49" t="s">
        <v>49</v>
      </c>
      <c r="M26" s="48">
        <v>8.3510000000000009</v>
      </c>
      <c r="N26" s="48"/>
      <c r="O26" s="49" t="s">
        <v>49</v>
      </c>
      <c r="P26" s="98">
        <f t="shared" si="0"/>
        <v>25.052</v>
      </c>
      <c r="Q26" s="50">
        <f>P26+'02'!Q26</f>
        <v>74.983000000000004</v>
      </c>
      <c r="R26" s="99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>
      <c r="A27" s="135"/>
      <c r="B27" s="136"/>
      <c r="C27" s="122" t="s">
        <v>98</v>
      </c>
      <c r="D27" s="123"/>
      <c r="E27" s="124"/>
      <c r="F27" s="47" t="s">
        <v>35</v>
      </c>
      <c r="G27" s="48">
        <v>0</v>
      </c>
      <c r="H27" s="48"/>
      <c r="I27" s="49" t="s">
        <v>51</v>
      </c>
      <c r="J27" s="48">
        <v>0</v>
      </c>
      <c r="K27" s="48"/>
      <c r="L27" s="49" t="s">
        <v>51</v>
      </c>
      <c r="M27" s="48">
        <v>0</v>
      </c>
      <c r="N27" s="48"/>
      <c r="O27" s="49" t="s">
        <v>51</v>
      </c>
      <c r="P27" s="98">
        <f t="shared" si="0"/>
        <v>0</v>
      </c>
      <c r="Q27" s="50">
        <f>P27+'02'!Q27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>
      <c r="A28" s="130"/>
      <c r="B28" s="131"/>
      <c r="C28" s="132" t="s">
        <v>99</v>
      </c>
      <c r="D28" s="133"/>
      <c r="E28" s="134"/>
      <c r="F28" s="52" t="s">
        <v>35</v>
      </c>
      <c r="G28" s="53">
        <v>0.3049</v>
      </c>
      <c r="H28" s="53"/>
      <c r="I28" s="54" t="s">
        <v>53</v>
      </c>
      <c r="J28" s="53">
        <v>0.30399999999999999</v>
      </c>
      <c r="K28" s="53"/>
      <c r="L28" s="54" t="s">
        <v>53</v>
      </c>
      <c r="M28" s="53">
        <v>0.30599999999999999</v>
      </c>
      <c r="N28" s="53"/>
      <c r="O28" s="54" t="s">
        <v>53</v>
      </c>
      <c r="P28" s="100">
        <f t="shared" si="0"/>
        <v>0.91490000000000005</v>
      </c>
      <c r="Q28" s="55">
        <f>P28+'02'!Q28</f>
        <v>2.7130000000000001</v>
      </c>
      <c r="R28" s="97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>
      <c r="A29" s="113">
        <v>104</v>
      </c>
      <c r="B29" s="114"/>
      <c r="C29" s="119" t="s">
        <v>100</v>
      </c>
      <c r="D29" s="120"/>
      <c r="E29" s="121"/>
      <c r="F29" s="56"/>
      <c r="G29" s="60">
        <v>12.404</v>
      </c>
      <c r="H29" s="58"/>
      <c r="I29" s="59" t="s">
        <v>55</v>
      </c>
      <c r="J29" s="60"/>
      <c r="K29" s="58"/>
      <c r="L29" s="59"/>
      <c r="M29" s="60"/>
      <c r="N29" s="58"/>
      <c r="O29" s="59"/>
      <c r="P29" s="101">
        <f t="shared" si="0"/>
        <v>12.404</v>
      </c>
      <c r="Q29" s="61">
        <f>P29+'02'!Q29</f>
        <v>24.866</v>
      </c>
      <c r="R29" s="102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>
      <c r="A30" s="115"/>
      <c r="B30" s="116"/>
      <c r="C30" s="122" t="s">
        <v>102</v>
      </c>
      <c r="D30" s="123"/>
      <c r="E30" s="124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98">
        <f t="shared" si="0"/>
        <v>0</v>
      </c>
      <c r="Q30" s="50">
        <f>P30+'02'!Q30</f>
        <v>0</v>
      </c>
      <c r="R30" s="99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>
      <c r="A31" s="115"/>
      <c r="B31" s="116"/>
      <c r="C31" s="122" t="s">
        <v>101</v>
      </c>
      <c r="D31" s="123"/>
      <c r="E31" s="124"/>
      <c r="F31" s="47"/>
      <c r="G31" s="48">
        <v>2.464</v>
      </c>
      <c r="H31" s="48"/>
      <c r="I31" s="49" t="s">
        <v>58</v>
      </c>
      <c r="J31" s="48"/>
      <c r="K31" s="48"/>
      <c r="L31" s="49"/>
      <c r="M31" s="48"/>
      <c r="N31" s="48"/>
      <c r="O31" s="49"/>
      <c r="P31" s="98">
        <f t="shared" si="0"/>
        <v>2.464</v>
      </c>
      <c r="Q31" s="50">
        <f>P31+'02'!Q31</f>
        <v>4.931</v>
      </c>
      <c r="R31" s="99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>
      <c r="A32" s="115"/>
      <c r="B32" s="116"/>
      <c r="C32" s="122" t="s">
        <v>103</v>
      </c>
      <c r="D32" s="123"/>
      <c r="E32" s="124"/>
      <c r="F32" s="47"/>
      <c r="G32" s="48"/>
      <c r="H32" s="48"/>
      <c r="I32" s="49"/>
      <c r="J32" s="48"/>
      <c r="K32" s="48"/>
      <c r="L32" s="49"/>
      <c r="M32" s="49">
        <v>0.91900000000000004</v>
      </c>
      <c r="N32" s="48"/>
      <c r="O32" s="54" t="s">
        <v>60</v>
      </c>
      <c r="P32" s="98">
        <f t="shared" si="0"/>
        <v>0.91900000000000004</v>
      </c>
      <c r="Q32" s="50">
        <f>P32+'02'!Q32</f>
        <v>23.937000000000001</v>
      </c>
      <c r="R32" s="99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>
      <c r="A33" s="117"/>
      <c r="B33" s="118"/>
      <c r="C33" s="125" t="s">
        <v>104</v>
      </c>
      <c r="D33" s="126"/>
      <c r="E33" s="127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103">
        <f>G33+J33+M33</f>
        <v>0</v>
      </c>
      <c r="Q33" s="104">
        <f>P33+'02'!Q33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/>
    <row r="35" spans="1:26" ht="14.1" customHeight="1"/>
    <row r="36" spans="1:26" ht="14.1" customHeight="1"/>
    <row r="37" spans="1:26" ht="14.1" customHeight="1"/>
    <row r="38" spans="1:26" ht="14.1" customHeight="1"/>
    <row r="39" spans="1:26" ht="14.1" customHeight="1"/>
    <row r="40" spans="1:26" ht="14.1" customHeight="1"/>
    <row r="41" spans="1:26" ht="14.1" customHeight="1"/>
    <row r="42" spans="1:26" ht="14.1" customHeight="1"/>
    <row r="43" spans="1:26" ht="14.1" customHeight="1"/>
    <row r="44" spans="1:26" ht="14.1" customHeight="1"/>
    <row r="45" spans="1:26" ht="14.1" customHeight="1"/>
    <row r="46" spans="1:26" ht="14.1" customHeight="1"/>
    <row r="47" spans="1:26" ht="14.1" customHeight="1"/>
    <row r="48" spans="1:26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  <row r="58" ht="14.1" customHeight="1"/>
    <row r="59" ht="14.1" customHeight="1"/>
    <row r="60" ht="14.1" customHeight="1"/>
    <row r="61" ht="14.1" customHeight="1"/>
    <row r="62" ht="14.1" customHeight="1"/>
    <row r="63" ht="14.1" customHeight="1"/>
    <row r="64" ht="14.1" customHeight="1"/>
    <row r="65" ht="14.1" customHeight="1"/>
    <row r="66" ht="14.1" customHeight="1"/>
    <row r="67" ht="14.1" customHeight="1"/>
    <row r="68" ht="15" customHeight="1"/>
    <row r="69" ht="12.95" customHeight="1"/>
    <row r="70" ht="14.1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4.1" customHeight="1"/>
    <row r="122" ht="14.1" customHeight="1"/>
    <row r="123" ht="14.1" customHeight="1"/>
    <row r="124" ht="14.1" customHeight="1"/>
    <row r="125" ht="14.1" customHeight="1"/>
    <row r="126" ht="10.5" customHeight="1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C53AB4BC-15D6-463C-A3FF-44A89DEAA95D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C9151-4E90-40C4-90F6-2A2A2C750C48}">
  <sheetPr codeName="Sheet7"/>
  <dimension ref="A1:Z126"/>
  <sheetViews>
    <sheetView showGridLines="0" zoomScale="85" zoomScaleNormal="85" zoomScaleSheetLayoutView="113" workbookViewId="0">
      <selection activeCell="A11" sqref="A11:E33"/>
    </sheetView>
  </sheetViews>
  <sheetFormatPr defaultColWidth="10.140625" defaultRowHeight="1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7.8554687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8" width="8.42578125" customWidth="1"/>
    <col min="27" max="16384" width="10.140625" style="9"/>
  </cols>
  <sheetData>
    <row r="1" spans="1:26" ht="15" customHeight="1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>
      <c r="A2" s="10"/>
      <c r="B2" s="10"/>
      <c r="C2" s="10"/>
      <c r="D2" s="10"/>
      <c r="E2" s="10"/>
      <c r="F2" s="10"/>
      <c r="G2" s="173"/>
      <c r="H2" s="173"/>
      <c r="I2" s="173"/>
      <c r="J2" s="173"/>
      <c r="K2" s="173"/>
      <c r="L2" s="173"/>
      <c r="M2" s="10"/>
      <c r="N2" s="11"/>
      <c r="O2" s="174"/>
      <c r="P2" s="174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>
      <c r="A3" s="10"/>
      <c r="B3" s="10"/>
      <c r="C3" s="10"/>
      <c r="D3" s="10"/>
      <c r="E3" s="10"/>
      <c r="F3" s="10"/>
      <c r="G3" s="173"/>
      <c r="H3" s="173"/>
      <c r="I3" s="173"/>
      <c r="J3" s="173"/>
      <c r="K3" s="173"/>
      <c r="L3" s="173"/>
      <c r="M3" s="10"/>
      <c r="N3" s="11"/>
      <c r="O3" s="174"/>
      <c r="P3" s="174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>
      <c r="A4" s="10"/>
      <c r="B4" s="10"/>
      <c r="C4" s="10"/>
      <c r="D4" s="10"/>
      <c r="E4" s="10"/>
      <c r="F4" s="10"/>
      <c r="G4" s="173"/>
      <c r="H4" s="173"/>
      <c r="I4" s="173"/>
      <c r="J4" s="173"/>
      <c r="K4" s="173"/>
      <c r="L4" s="173"/>
      <c r="M4" s="10"/>
      <c r="N4" s="11"/>
      <c r="O4" s="174"/>
      <c r="P4" s="174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>
      <c r="A5" s="169" t="s">
        <v>8</v>
      </c>
      <c r="B5" s="169"/>
      <c r="C5" s="16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>
      <c r="A6" s="169" t="s">
        <v>10</v>
      </c>
      <c r="B6" s="169"/>
      <c r="C6" s="169"/>
      <c r="D6" s="179">
        <f>'03'!D6+1</f>
        <v>46057</v>
      </c>
      <c r="E6" s="179"/>
      <c r="F6" s="28"/>
      <c r="G6" s="171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>
      <c r="A8" s="175" t="s">
        <v>11</v>
      </c>
      <c r="B8" s="175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9"/>
      <c r="T8" s="9"/>
      <c r="U8" s="9"/>
      <c r="V8" s="9"/>
      <c r="W8" s="9"/>
      <c r="X8" s="9"/>
      <c r="Y8" s="9"/>
      <c r="Z8" s="9"/>
    </row>
    <row r="9" spans="1:26" ht="24.95" customHeight="1">
      <c r="A9" s="158" t="s">
        <v>12</v>
      </c>
      <c r="B9" s="159"/>
      <c r="C9" s="162" t="s">
        <v>13</v>
      </c>
      <c r="D9" s="162"/>
      <c r="E9" s="163"/>
      <c r="F9" s="20" t="s">
        <v>14</v>
      </c>
      <c r="G9" s="166" t="s">
        <v>15</v>
      </c>
      <c r="H9" s="167"/>
      <c r="I9" s="21" t="s">
        <v>16</v>
      </c>
      <c r="J9" s="166" t="s">
        <v>17</v>
      </c>
      <c r="K9" s="167"/>
      <c r="L9" s="21" t="s">
        <v>16</v>
      </c>
      <c r="M9" s="166" t="s">
        <v>18</v>
      </c>
      <c r="N9" s="167"/>
      <c r="O9" s="22" t="s">
        <v>16</v>
      </c>
      <c r="P9" s="167" t="s">
        <v>19</v>
      </c>
      <c r="Q9" s="167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>
      <c r="A10" s="160"/>
      <c r="B10" s="161"/>
      <c r="C10" s="164"/>
      <c r="D10" s="164"/>
      <c r="E10" s="165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68"/>
      <c r="Q10" s="168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 thickBot="1">
      <c r="A11" s="137">
        <v>101</v>
      </c>
      <c r="B11" s="138"/>
      <c r="C11" s="139" t="s">
        <v>83</v>
      </c>
      <c r="D11" s="139"/>
      <c r="E11" s="140"/>
      <c r="F11" s="41">
        <v>60</v>
      </c>
      <c r="G11" s="42">
        <v>8</v>
      </c>
      <c r="H11" s="43"/>
      <c r="I11" s="44" t="s">
        <v>67</v>
      </c>
      <c r="J11" s="42">
        <v>24.9</v>
      </c>
      <c r="K11" s="43"/>
      <c r="L11" s="44" t="s">
        <v>67</v>
      </c>
      <c r="M11" s="42">
        <v>19.8</v>
      </c>
      <c r="N11" s="43"/>
      <c r="O11" s="44" t="s">
        <v>67</v>
      </c>
      <c r="P11" s="96">
        <f>G11+J11+M11</f>
        <v>52.7</v>
      </c>
      <c r="Q11" s="105">
        <f>P11+'03'!Q11</f>
        <v>52.7</v>
      </c>
      <c r="R11" s="97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 thickTop="1">
      <c r="A12" s="135"/>
      <c r="B12" s="136"/>
      <c r="C12" s="141" t="s">
        <v>84</v>
      </c>
      <c r="D12" s="141"/>
      <c r="E12" s="142"/>
      <c r="F12" s="47">
        <v>30</v>
      </c>
      <c r="G12" s="48"/>
      <c r="H12" s="48"/>
      <c r="I12" s="49"/>
      <c r="J12" s="48"/>
      <c r="K12" s="48"/>
      <c r="L12" s="49"/>
      <c r="M12" s="48">
        <v>11.2</v>
      </c>
      <c r="N12" s="48"/>
      <c r="O12" s="44" t="s">
        <v>68</v>
      </c>
      <c r="P12" s="98">
        <f t="shared" ref="P12:P32" si="0">G12+J12+M12</f>
        <v>11.2</v>
      </c>
      <c r="Q12" s="50">
        <f>P12+'03'!Q12</f>
        <v>11.2</v>
      </c>
      <c r="R12" s="99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>
      <c r="A13" s="130"/>
      <c r="B13" s="131"/>
      <c r="C13" s="143" t="s">
        <v>85</v>
      </c>
      <c r="D13" s="143"/>
      <c r="E13" s="144"/>
      <c r="F13" s="52">
        <v>30</v>
      </c>
      <c r="G13" s="53"/>
      <c r="H13" s="53"/>
      <c r="I13" s="54"/>
      <c r="J13" s="53"/>
      <c r="K13" s="53"/>
      <c r="L13" s="54"/>
      <c r="M13" s="53"/>
      <c r="N13" s="53"/>
      <c r="O13" s="54"/>
      <c r="P13" s="100">
        <f t="shared" si="0"/>
        <v>0</v>
      </c>
      <c r="Q13" s="55">
        <f>P13+'03'!Q13</f>
        <v>0</v>
      </c>
      <c r="R13" s="99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>
      <c r="A14" s="128">
        <v>102</v>
      </c>
      <c r="B14" s="145"/>
      <c r="C14" s="148" t="s">
        <v>86</v>
      </c>
      <c r="D14" s="149"/>
      <c r="E14" s="150"/>
      <c r="F14" s="56">
        <v>40</v>
      </c>
      <c r="G14" s="57">
        <v>13.686</v>
      </c>
      <c r="H14" s="58"/>
      <c r="I14" s="59" t="s">
        <v>62</v>
      </c>
      <c r="J14" s="60">
        <v>12.192</v>
      </c>
      <c r="K14" s="58"/>
      <c r="L14" s="59" t="s">
        <v>62</v>
      </c>
      <c r="M14" s="60">
        <v>13.548999999999999</v>
      </c>
      <c r="N14" s="58"/>
      <c r="O14" s="59" t="s">
        <v>62</v>
      </c>
      <c r="P14" s="101">
        <f t="shared" si="0"/>
        <v>39.427</v>
      </c>
      <c r="Q14" s="61">
        <f>P14+'03'!Q14</f>
        <v>116.65899999999999</v>
      </c>
      <c r="R14" s="102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>
      <c r="A15" s="146"/>
      <c r="B15" s="147"/>
      <c r="C15" s="151" t="s">
        <v>87</v>
      </c>
      <c r="D15" s="152"/>
      <c r="E15" s="153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98">
        <f t="shared" si="0"/>
        <v>0</v>
      </c>
      <c r="Q15" s="50">
        <f>P15+'03'!Q15</f>
        <v>0</v>
      </c>
      <c r="R15" s="97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>
      <c r="A16" s="146"/>
      <c r="B16" s="147"/>
      <c r="C16" s="154" t="s">
        <v>88</v>
      </c>
      <c r="D16" s="155"/>
      <c r="E16" s="156"/>
      <c r="F16" s="47">
        <f>F14*(2/100)</f>
        <v>0.8</v>
      </c>
      <c r="G16" s="48">
        <v>1.1882999999999999</v>
      </c>
      <c r="H16" s="48"/>
      <c r="I16" s="49" t="s">
        <v>63</v>
      </c>
      <c r="J16" s="48">
        <v>1.069</v>
      </c>
      <c r="K16" s="48"/>
      <c r="L16" s="49" t="s">
        <v>63</v>
      </c>
      <c r="M16" s="48">
        <v>1.161</v>
      </c>
      <c r="N16" s="48"/>
      <c r="O16" s="49" t="s">
        <v>63</v>
      </c>
      <c r="P16" s="98">
        <f t="shared" si="0"/>
        <v>3.4182999999999999</v>
      </c>
      <c r="Q16" s="50">
        <f>P16+'03'!Q16</f>
        <v>8.4391999999999996</v>
      </c>
      <c r="R16" s="99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>
      <c r="A17" s="146"/>
      <c r="B17" s="147"/>
      <c r="C17" s="122" t="s">
        <v>89</v>
      </c>
      <c r="D17" s="123"/>
      <c r="E17" s="124"/>
      <c r="F17" s="47">
        <f>F14*12/100</f>
        <v>4.8</v>
      </c>
      <c r="G17" s="48"/>
      <c r="H17" s="48"/>
      <c r="I17" s="49"/>
      <c r="J17" s="48"/>
      <c r="K17" s="48"/>
      <c r="L17" s="49"/>
      <c r="M17" s="48"/>
      <c r="N17" s="48"/>
      <c r="O17" s="49"/>
      <c r="P17" s="98">
        <f t="shared" si="0"/>
        <v>0</v>
      </c>
      <c r="Q17" s="50">
        <f>P17+'03'!Q17</f>
        <v>0.22700000000000001</v>
      </c>
      <c r="R17" s="99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>
      <c r="A18" s="146"/>
      <c r="B18" s="147"/>
      <c r="C18" s="122" t="s">
        <v>90</v>
      </c>
      <c r="D18" s="123"/>
      <c r="E18" s="124"/>
      <c r="F18" s="47" t="s">
        <v>35</v>
      </c>
      <c r="G18" s="48">
        <v>12.298999999999999</v>
      </c>
      <c r="H18" s="48"/>
      <c r="I18" s="49" t="s">
        <v>65</v>
      </c>
      <c r="J18" s="48">
        <v>10.513</v>
      </c>
      <c r="K18" s="48"/>
      <c r="L18" s="49" t="s">
        <v>65</v>
      </c>
      <c r="M18" s="48">
        <v>11.680999999999999</v>
      </c>
      <c r="N18" s="48"/>
      <c r="O18" s="49" t="s">
        <v>65</v>
      </c>
      <c r="P18" s="98">
        <f t="shared" si="0"/>
        <v>34.492999999999995</v>
      </c>
      <c r="Q18" s="50">
        <f>P18+'03'!Q18</f>
        <v>102.732</v>
      </c>
      <c r="R18" s="99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>
      <c r="A19" s="146"/>
      <c r="B19" s="147"/>
      <c r="C19" s="122" t="s">
        <v>91</v>
      </c>
      <c r="D19" s="123"/>
      <c r="E19" s="124"/>
      <c r="F19" s="47" t="s">
        <v>35</v>
      </c>
      <c r="G19" s="48"/>
      <c r="H19" s="48"/>
      <c r="I19" s="49"/>
      <c r="J19" s="48"/>
      <c r="K19" s="48"/>
      <c r="L19" s="49"/>
      <c r="M19" s="48"/>
      <c r="N19" s="48"/>
      <c r="O19" s="49"/>
      <c r="P19" s="98">
        <f t="shared" si="0"/>
        <v>0</v>
      </c>
      <c r="Q19" s="50">
        <f>P19+'03'!Q19</f>
        <v>0</v>
      </c>
      <c r="R19" s="99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>
      <c r="A20" s="146"/>
      <c r="B20" s="147"/>
      <c r="C20" s="122" t="s">
        <v>92</v>
      </c>
      <c r="D20" s="123"/>
      <c r="E20" s="124"/>
      <c r="F20" s="63" t="s">
        <v>35</v>
      </c>
      <c r="G20" s="48"/>
      <c r="H20" s="48"/>
      <c r="I20" s="49"/>
      <c r="J20" s="48"/>
      <c r="K20" s="48"/>
      <c r="L20" s="49"/>
      <c r="M20" s="48"/>
      <c r="N20" s="48"/>
      <c r="O20" s="49"/>
      <c r="P20" s="98">
        <f t="shared" si="0"/>
        <v>0</v>
      </c>
      <c r="Q20" s="50">
        <f>P20+'03'!Q20</f>
        <v>0</v>
      </c>
      <c r="R20" s="99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>
      <c r="A21" s="130"/>
      <c r="B21" s="131"/>
      <c r="C21" s="132" t="s">
        <v>93</v>
      </c>
      <c r="D21" s="133"/>
      <c r="E21" s="134"/>
      <c r="F21" s="52">
        <f>F14*(0.5/100)</f>
        <v>0.2</v>
      </c>
      <c r="G21" s="53">
        <v>0.41049999999999998</v>
      </c>
      <c r="H21" s="53"/>
      <c r="I21" s="54" t="s">
        <v>66</v>
      </c>
      <c r="J21" s="53">
        <v>0.40400000000000003</v>
      </c>
      <c r="K21" s="53"/>
      <c r="L21" s="54" t="s">
        <v>66</v>
      </c>
      <c r="M21" s="53">
        <v>0.44400000000000001</v>
      </c>
      <c r="N21" s="53"/>
      <c r="O21" s="54" t="s">
        <v>66</v>
      </c>
      <c r="P21" s="100">
        <f t="shared" si="0"/>
        <v>1.2585</v>
      </c>
      <c r="Q21" s="55">
        <f>P21+'03'!Q21</f>
        <v>3.7458999999999998</v>
      </c>
      <c r="R21" s="99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>
      <c r="A22" s="128" t="s">
        <v>105</v>
      </c>
      <c r="B22" s="129"/>
      <c r="C22" s="119" t="s">
        <v>94</v>
      </c>
      <c r="D22" s="120"/>
      <c r="E22" s="121"/>
      <c r="F22" s="56">
        <v>24</v>
      </c>
      <c r="G22" s="60">
        <v>0.27700000000000002</v>
      </c>
      <c r="H22" s="58"/>
      <c r="I22" s="65" t="s">
        <v>41</v>
      </c>
      <c r="J22" s="60"/>
      <c r="K22" s="58"/>
      <c r="L22" s="65"/>
      <c r="M22" s="60"/>
      <c r="N22" s="58"/>
      <c r="O22" s="65"/>
      <c r="P22" s="101">
        <f t="shared" si="0"/>
        <v>0.27700000000000002</v>
      </c>
      <c r="Q22" s="61">
        <f>P22+'03'!Q22</f>
        <v>79.344999999999999</v>
      </c>
      <c r="R22" s="102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>
      <c r="A23" s="130"/>
      <c r="B23" s="131"/>
      <c r="C23" s="132" t="s">
        <v>95</v>
      </c>
      <c r="D23" s="133"/>
      <c r="E23" s="134"/>
      <c r="F23" s="52">
        <v>24</v>
      </c>
      <c r="G23" s="53">
        <v>6.3070000000000004</v>
      </c>
      <c r="H23" s="53"/>
      <c r="I23" s="66" t="s">
        <v>43</v>
      </c>
      <c r="J23" s="53"/>
      <c r="K23" s="53"/>
      <c r="L23" s="66"/>
      <c r="M23" s="53"/>
      <c r="N23" s="53"/>
      <c r="O23" s="66"/>
      <c r="P23" s="100">
        <f t="shared" si="0"/>
        <v>6.3070000000000004</v>
      </c>
      <c r="Q23" s="55">
        <f>P23+'03'!Q23</f>
        <v>81.665000000000006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>
      <c r="A24" s="128" t="s">
        <v>106</v>
      </c>
      <c r="B24" s="129"/>
      <c r="C24" s="119" t="s">
        <v>96</v>
      </c>
      <c r="D24" s="120"/>
      <c r="E24" s="121"/>
      <c r="F24" s="56">
        <v>24</v>
      </c>
      <c r="G24" s="60">
        <v>8.7919999999999998</v>
      </c>
      <c r="H24" s="58"/>
      <c r="I24" s="59" t="s">
        <v>43</v>
      </c>
      <c r="J24" s="60">
        <v>8.7919999999999998</v>
      </c>
      <c r="K24" s="58"/>
      <c r="L24" s="59" t="s">
        <v>43</v>
      </c>
      <c r="M24" s="60">
        <v>8.8109999999999999</v>
      </c>
      <c r="N24" s="58"/>
      <c r="O24" s="59" t="s">
        <v>43</v>
      </c>
      <c r="P24" s="101">
        <f t="shared" si="0"/>
        <v>26.395</v>
      </c>
      <c r="Q24" s="61">
        <f>P24+'03'!Q24</f>
        <v>105.479</v>
      </c>
      <c r="R24" s="97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>
      <c r="A25" s="135"/>
      <c r="B25" s="136"/>
      <c r="C25" s="122" t="s">
        <v>46</v>
      </c>
      <c r="D25" s="123"/>
      <c r="E25" s="124"/>
      <c r="F25" s="47" t="s">
        <v>35</v>
      </c>
      <c r="G25" s="48">
        <v>0.15329999999999999</v>
      </c>
      <c r="H25" s="48"/>
      <c r="I25" s="49" t="s">
        <v>47</v>
      </c>
      <c r="J25" s="48">
        <v>0.153</v>
      </c>
      <c r="K25" s="48"/>
      <c r="L25" s="49" t="s">
        <v>47</v>
      </c>
      <c r="M25" s="48">
        <v>0.153</v>
      </c>
      <c r="N25" s="48"/>
      <c r="O25" s="49" t="s">
        <v>47</v>
      </c>
      <c r="P25" s="98">
        <f t="shared" si="0"/>
        <v>0.45930000000000004</v>
      </c>
      <c r="Q25" s="50">
        <f>P25+'03'!Q25</f>
        <v>1.8388000000000002</v>
      </c>
      <c r="R25" s="99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>
      <c r="A26" s="135"/>
      <c r="B26" s="136"/>
      <c r="C26" s="122" t="s">
        <v>97</v>
      </c>
      <c r="D26" s="123"/>
      <c r="E26" s="124"/>
      <c r="F26" s="47" t="s">
        <v>35</v>
      </c>
      <c r="G26" s="48">
        <v>8.35</v>
      </c>
      <c r="H26" s="48"/>
      <c r="I26" s="49" t="s">
        <v>49</v>
      </c>
      <c r="J26" s="48">
        <v>8.3520000000000003</v>
      </c>
      <c r="K26" s="48"/>
      <c r="L26" s="49" t="s">
        <v>49</v>
      </c>
      <c r="M26" s="48">
        <v>8.35</v>
      </c>
      <c r="N26" s="48"/>
      <c r="O26" s="49" t="s">
        <v>49</v>
      </c>
      <c r="P26" s="98">
        <f t="shared" si="0"/>
        <v>25.052</v>
      </c>
      <c r="Q26" s="50">
        <f>P26+'03'!Q26</f>
        <v>100.035</v>
      </c>
      <c r="R26" s="99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>
      <c r="A27" s="135"/>
      <c r="B27" s="136"/>
      <c r="C27" s="122" t="s">
        <v>98</v>
      </c>
      <c r="D27" s="123"/>
      <c r="E27" s="124"/>
      <c r="F27" s="47" t="s">
        <v>35</v>
      </c>
      <c r="G27" s="48">
        <v>0</v>
      </c>
      <c r="H27" s="48"/>
      <c r="I27" s="49" t="s">
        <v>51</v>
      </c>
      <c r="J27" s="48">
        <v>0</v>
      </c>
      <c r="K27" s="48"/>
      <c r="L27" s="49" t="s">
        <v>51</v>
      </c>
      <c r="M27" s="48">
        <v>0</v>
      </c>
      <c r="N27" s="48"/>
      <c r="O27" s="49" t="s">
        <v>51</v>
      </c>
      <c r="P27" s="98">
        <f t="shared" si="0"/>
        <v>0</v>
      </c>
      <c r="Q27" s="50">
        <f>P27+'03'!Q27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>
      <c r="A28" s="130"/>
      <c r="B28" s="131"/>
      <c r="C28" s="132" t="s">
        <v>99</v>
      </c>
      <c r="D28" s="133"/>
      <c r="E28" s="134"/>
      <c r="F28" s="52" t="s">
        <v>35</v>
      </c>
      <c r="G28" s="53">
        <v>0.30559999999999998</v>
      </c>
      <c r="H28" s="53"/>
      <c r="I28" s="54" t="s">
        <v>53</v>
      </c>
      <c r="J28" s="53">
        <v>0.30399999999999999</v>
      </c>
      <c r="K28" s="53"/>
      <c r="L28" s="54" t="s">
        <v>53</v>
      </c>
      <c r="M28" s="53">
        <v>0.30599999999999999</v>
      </c>
      <c r="N28" s="53"/>
      <c r="O28" s="54" t="s">
        <v>53</v>
      </c>
      <c r="P28" s="100">
        <f t="shared" si="0"/>
        <v>0.91559999999999997</v>
      </c>
      <c r="Q28" s="55">
        <f>P28+'03'!Q28</f>
        <v>3.6286</v>
      </c>
      <c r="R28" s="97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>
      <c r="A29" s="113">
        <v>104</v>
      </c>
      <c r="B29" s="114"/>
      <c r="C29" s="119" t="s">
        <v>100</v>
      </c>
      <c r="D29" s="120"/>
      <c r="E29" s="121"/>
      <c r="F29" s="56"/>
      <c r="G29" s="60"/>
      <c r="H29" s="58"/>
      <c r="I29" s="59"/>
      <c r="J29" s="60">
        <v>12.182</v>
      </c>
      <c r="K29" s="58"/>
      <c r="L29" s="49" t="s">
        <v>55</v>
      </c>
      <c r="M29" s="60"/>
      <c r="N29" s="58"/>
      <c r="O29" s="59"/>
      <c r="P29" s="101">
        <f t="shared" si="0"/>
        <v>12.182</v>
      </c>
      <c r="Q29" s="61">
        <f>P29+'03'!Q29</f>
        <v>37.048000000000002</v>
      </c>
      <c r="R29" s="102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>
      <c r="A30" s="115"/>
      <c r="B30" s="116"/>
      <c r="C30" s="122" t="s">
        <v>102</v>
      </c>
      <c r="D30" s="123"/>
      <c r="E30" s="124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98">
        <f t="shared" si="0"/>
        <v>0</v>
      </c>
      <c r="Q30" s="50">
        <f>P30+'03'!Q30</f>
        <v>0</v>
      </c>
      <c r="R30" s="99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>
      <c r="A31" s="115"/>
      <c r="B31" s="116"/>
      <c r="C31" s="122" t="s">
        <v>101</v>
      </c>
      <c r="D31" s="123"/>
      <c r="E31" s="124"/>
      <c r="F31" s="47"/>
      <c r="G31" s="48"/>
      <c r="H31" s="48"/>
      <c r="I31" s="49"/>
      <c r="J31" s="48">
        <v>2.4700000000000002</v>
      </c>
      <c r="K31" s="48"/>
      <c r="L31" s="49" t="s">
        <v>58</v>
      </c>
      <c r="M31" s="48"/>
      <c r="N31" s="48"/>
      <c r="O31" s="49"/>
      <c r="P31" s="98">
        <f t="shared" si="0"/>
        <v>2.4700000000000002</v>
      </c>
      <c r="Q31" s="50">
        <f>P31+'03'!Q31</f>
        <v>7.4009999999999998</v>
      </c>
      <c r="R31" s="99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>
      <c r="A32" s="115"/>
      <c r="B32" s="116"/>
      <c r="C32" s="122" t="s">
        <v>103</v>
      </c>
      <c r="D32" s="123"/>
      <c r="E32" s="124"/>
      <c r="F32" s="47"/>
      <c r="G32" s="48">
        <v>12.063000000000001</v>
      </c>
      <c r="H32" s="48"/>
      <c r="I32" s="49" t="s">
        <v>60</v>
      </c>
      <c r="J32" s="48"/>
      <c r="K32" s="48"/>
      <c r="L32" s="49"/>
      <c r="M32" s="49"/>
      <c r="N32" s="48"/>
      <c r="O32" s="49"/>
      <c r="P32" s="98">
        <f t="shared" si="0"/>
        <v>12.063000000000001</v>
      </c>
      <c r="Q32" s="50">
        <f>P32+'03'!Q32</f>
        <v>36</v>
      </c>
      <c r="R32" s="99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>
      <c r="A33" s="117"/>
      <c r="B33" s="118"/>
      <c r="C33" s="125" t="s">
        <v>104</v>
      </c>
      <c r="D33" s="126"/>
      <c r="E33" s="127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103">
        <f>G33+J33+M33</f>
        <v>0</v>
      </c>
      <c r="Q33" s="72">
        <f>P33+'03'!Q33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/>
    <row r="35" spans="1:26" ht="14.1" customHeight="1"/>
    <row r="36" spans="1:26" ht="14.1" customHeight="1"/>
    <row r="37" spans="1:26" ht="14.1" customHeight="1"/>
    <row r="38" spans="1:26" ht="14.1" customHeight="1"/>
    <row r="39" spans="1:26" ht="14.1" customHeight="1"/>
    <row r="40" spans="1:26" ht="14.1" customHeight="1"/>
    <row r="41" spans="1:26" ht="14.1" customHeight="1"/>
    <row r="42" spans="1:26" ht="14.1" customHeight="1"/>
    <row r="43" spans="1:26" ht="14.1" customHeight="1"/>
    <row r="44" spans="1:26" ht="14.1" customHeight="1"/>
    <row r="45" spans="1:26" ht="14.1" customHeight="1"/>
    <row r="46" spans="1:26" ht="14.1" customHeight="1"/>
    <row r="47" spans="1:26" ht="14.1" customHeight="1"/>
    <row r="48" spans="1:26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  <row r="58" ht="14.1" customHeight="1"/>
    <row r="59" ht="14.1" customHeight="1"/>
    <row r="60" ht="14.1" customHeight="1"/>
    <row r="61" ht="14.1" customHeight="1"/>
    <row r="62" ht="14.1" customHeight="1"/>
    <row r="63" ht="14.1" customHeight="1"/>
    <row r="64" ht="14.1" customHeight="1"/>
    <row r="65" ht="14.1" customHeight="1"/>
    <row r="66" ht="14.1" customHeight="1"/>
    <row r="67" ht="14.1" customHeight="1"/>
    <row r="68" ht="15" customHeight="1"/>
    <row r="69" ht="12.95" customHeight="1"/>
    <row r="70" ht="14.1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4.1" customHeight="1"/>
    <row r="122" ht="14.1" customHeight="1"/>
    <row r="123" ht="14.1" customHeight="1"/>
    <row r="124" ht="14.1" customHeight="1"/>
    <row r="125" ht="14.1" customHeight="1"/>
    <row r="126" ht="10.5" customHeight="1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336A6568-8F89-4DAD-9AAB-E37A76ACD12B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5D51-F5F5-45BE-A2A8-9DC8BE627018}">
  <sheetPr codeName="Sheet8"/>
  <dimension ref="A1:Z126"/>
  <sheetViews>
    <sheetView showGridLines="0" zoomScale="85" zoomScaleNormal="85" zoomScaleSheetLayoutView="113" workbookViewId="0">
      <selection activeCell="A11" sqref="A11:E33"/>
    </sheetView>
  </sheetViews>
  <sheetFormatPr defaultColWidth="10.140625" defaultRowHeight="1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7.8554687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8" width="8.42578125" customWidth="1"/>
    <col min="27" max="16384" width="10.140625" style="9"/>
  </cols>
  <sheetData>
    <row r="1" spans="1:26" ht="15" customHeight="1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>
      <c r="A2" s="10"/>
      <c r="B2" s="10"/>
      <c r="C2" s="10"/>
      <c r="D2" s="10"/>
      <c r="E2" s="10"/>
      <c r="F2" s="10"/>
      <c r="G2" s="173"/>
      <c r="H2" s="173"/>
      <c r="I2" s="173"/>
      <c r="J2" s="173"/>
      <c r="K2" s="173"/>
      <c r="L2" s="173"/>
      <c r="M2" s="10"/>
      <c r="N2" s="11"/>
      <c r="O2" s="174"/>
      <c r="P2" s="174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>
      <c r="A3" s="10"/>
      <c r="B3" s="10"/>
      <c r="C3" s="10"/>
      <c r="D3" s="10"/>
      <c r="E3" s="10"/>
      <c r="F3" s="10"/>
      <c r="G3" s="173"/>
      <c r="H3" s="173"/>
      <c r="I3" s="173"/>
      <c r="J3" s="173"/>
      <c r="K3" s="173"/>
      <c r="L3" s="173"/>
      <c r="M3" s="10"/>
      <c r="N3" s="11"/>
      <c r="O3" s="174"/>
      <c r="P3" s="174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>
      <c r="A4" s="10"/>
      <c r="B4" s="10"/>
      <c r="C4" s="10"/>
      <c r="D4" s="10"/>
      <c r="E4" s="10"/>
      <c r="F4" s="10"/>
      <c r="G4" s="173"/>
      <c r="H4" s="173"/>
      <c r="I4" s="173"/>
      <c r="J4" s="173"/>
      <c r="K4" s="173"/>
      <c r="L4" s="173"/>
      <c r="M4" s="10"/>
      <c r="N4" s="11"/>
      <c r="O4" s="174"/>
      <c r="P4" s="174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>
      <c r="A5" s="169" t="s">
        <v>8</v>
      </c>
      <c r="B5" s="169"/>
      <c r="C5" s="16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>
      <c r="A6" s="169" t="s">
        <v>10</v>
      </c>
      <c r="B6" s="169"/>
      <c r="C6" s="169"/>
      <c r="D6" s="179">
        <f>'04'!D6+1</f>
        <v>46058</v>
      </c>
      <c r="E6" s="179"/>
      <c r="F6" s="28"/>
      <c r="G6" s="171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>
      <c r="A8" s="175" t="s">
        <v>11</v>
      </c>
      <c r="B8" s="175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9"/>
      <c r="T8" s="9"/>
      <c r="U8" s="9"/>
      <c r="V8" s="9"/>
      <c r="W8" s="9"/>
      <c r="X8" s="9"/>
      <c r="Y8" s="9"/>
      <c r="Z8" s="9"/>
    </row>
    <row r="9" spans="1:26" ht="24.95" customHeight="1">
      <c r="A9" s="158" t="s">
        <v>12</v>
      </c>
      <c r="B9" s="159"/>
      <c r="C9" s="162" t="s">
        <v>13</v>
      </c>
      <c r="D9" s="162"/>
      <c r="E9" s="163"/>
      <c r="F9" s="20" t="s">
        <v>14</v>
      </c>
      <c r="G9" s="166" t="s">
        <v>15</v>
      </c>
      <c r="H9" s="167"/>
      <c r="I9" s="21" t="s">
        <v>16</v>
      </c>
      <c r="J9" s="166" t="s">
        <v>17</v>
      </c>
      <c r="K9" s="167"/>
      <c r="L9" s="21" t="s">
        <v>16</v>
      </c>
      <c r="M9" s="166" t="s">
        <v>18</v>
      </c>
      <c r="N9" s="167"/>
      <c r="O9" s="22" t="s">
        <v>16</v>
      </c>
      <c r="P9" s="167" t="s">
        <v>19</v>
      </c>
      <c r="Q9" s="167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>
      <c r="A10" s="160"/>
      <c r="B10" s="161"/>
      <c r="C10" s="164"/>
      <c r="D10" s="164"/>
      <c r="E10" s="165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68"/>
      <c r="Q10" s="168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>
      <c r="A11" s="137">
        <v>101</v>
      </c>
      <c r="B11" s="138"/>
      <c r="C11" s="139" t="s">
        <v>83</v>
      </c>
      <c r="D11" s="139"/>
      <c r="E11" s="140"/>
      <c r="F11" s="41">
        <v>60</v>
      </c>
      <c r="G11" s="42">
        <v>19.899999999999999</v>
      </c>
      <c r="H11" s="43"/>
      <c r="I11" s="44" t="s">
        <v>67</v>
      </c>
      <c r="J11" s="42">
        <v>23.6</v>
      </c>
      <c r="K11" s="43"/>
      <c r="L11" s="44" t="s">
        <v>67</v>
      </c>
      <c r="M11" s="42">
        <v>17.2</v>
      </c>
      <c r="N11" s="43"/>
      <c r="O11" s="44" t="s">
        <v>67</v>
      </c>
      <c r="P11" s="45">
        <f>G11+J11+M11</f>
        <v>60.7</v>
      </c>
      <c r="Q11" s="105">
        <f>P11+'04'!Q11</f>
        <v>113.4</v>
      </c>
      <c r="R11" s="97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>
      <c r="A12" s="135"/>
      <c r="B12" s="136"/>
      <c r="C12" s="141" t="s">
        <v>84</v>
      </c>
      <c r="D12" s="141"/>
      <c r="E12" s="142"/>
      <c r="F12" s="47">
        <v>30</v>
      </c>
      <c r="G12" s="48">
        <v>10.1</v>
      </c>
      <c r="H12" s="48"/>
      <c r="I12" s="49" t="s">
        <v>69</v>
      </c>
      <c r="J12" s="48">
        <v>13.4</v>
      </c>
      <c r="K12" s="48"/>
      <c r="L12" s="49" t="s">
        <v>69</v>
      </c>
      <c r="M12" s="48">
        <v>9</v>
      </c>
      <c r="N12" s="48"/>
      <c r="O12" s="49" t="s">
        <v>69</v>
      </c>
      <c r="P12" s="50">
        <f t="shared" ref="P12:P32" si="0">G12+J12+M12</f>
        <v>32.5</v>
      </c>
      <c r="Q12" s="50">
        <f>P12+'04'!Q12</f>
        <v>43.7</v>
      </c>
      <c r="R12" s="99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>
      <c r="A13" s="130"/>
      <c r="B13" s="131"/>
      <c r="C13" s="143" t="s">
        <v>85</v>
      </c>
      <c r="D13" s="143"/>
      <c r="E13" s="144"/>
      <c r="F13" s="52">
        <v>30</v>
      </c>
      <c r="G13" s="53">
        <v>8.9</v>
      </c>
      <c r="H13" s="53"/>
      <c r="I13" s="54" t="s">
        <v>70</v>
      </c>
      <c r="J13" s="53">
        <v>13.5</v>
      </c>
      <c r="K13" s="53"/>
      <c r="L13" s="54" t="s">
        <v>70</v>
      </c>
      <c r="M13" s="53">
        <v>7.3</v>
      </c>
      <c r="N13" s="53"/>
      <c r="O13" s="54" t="s">
        <v>70</v>
      </c>
      <c r="P13" s="55">
        <f t="shared" si="0"/>
        <v>29.7</v>
      </c>
      <c r="Q13" s="55">
        <f>P13+'04'!Q13</f>
        <v>29.7</v>
      </c>
      <c r="R13" s="99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>
      <c r="A14" s="128">
        <v>102</v>
      </c>
      <c r="B14" s="145"/>
      <c r="C14" s="148" t="s">
        <v>86</v>
      </c>
      <c r="D14" s="149"/>
      <c r="E14" s="150"/>
      <c r="F14" s="56">
        <v>40</v>
      </c>
      <c r="G14" s="57">
        <v>6.4370000000000003</v>
      </c>
      <c r="H14" s="58"/>
      <c r="I14" s="59" t="s">
        <v>62</v>
      </c>
      <c r="J14" s="60">
        <v>0.41599999999999998</v>
      </c>
      <c r="K14" s="58"/>
      <c r="L14" s="59" t="s">
        <v>62</v>
      </c>
      <c r="M14" s="60">
        <v>8.5839999999999996</v>
      </c>
      <c r="N14" s="58"/>
      <c r="O14" s="59" t="s">
        <v>62</v>
      </c>
      <c r="P14" s="61">
        <f t="shared" si="0"/>
        <v>15.437000000000001</v>
      </c>
      <c r="Q14" s="61">
        <f>P14+'04'!Q14</f>
        <v>132.096</v>
      </c>
      <c r="R14" s="102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>
      <c r="A15" s="146"/>
      <c r="B15" s="147"/>
      <c r="C15" s="151" t="s">
        <v>87</v>
      </c>
      <c r="D15" s="152"/>
      <c r="E15" s="153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50">
        <f t="shared" si="0"/>
        <v>0</v>
      </c>
      <c r="Q15" s="50">
        <f>P15+'04'!Q15</f>
        <v>0</v>
      </c>
      <c r="R15" s="97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>
      <c r="A16" s="146"/>
      <c r="B16" s="147"/>
      <c r="C16" s="154" t="s">
        <v>88</v>
      </c>
      <c r="D16" s="155"/>
      <c r="E16" s="156"/>
      <c r="F16" s="47">
        <f>F14*(2/100)</f>
        <v>0.8</v>
      </c>
      <c r="G16" s="48">
        <v>0.73699999999999999</v>
      </c>
      <c r="H16" s="48"/>
      <c r="I16" s="49">
        <v>102</v>
      </c>
      <c r="J16" s="48">
        <v>3.8199999999999998E-2</v>
      </c>
      <c r="K16" s="48"/>
      <c r="L16" s="49" t="s">
        <v>71</v>
      </c>
      <c r="M16" s="48">
        <v>0.88090000000000002</v>
      </c>
      <c r="N16" s="48"/>
      <c r="O16" s="49" t="s">
        <v>71</v>
      </c>
      <c r="P16" s="50">
        <f t="shared" si="0"/>
        <v>1.6560999999999999</v>
      </c>
      <c r="Q16" s="50">
        <f>P16+'04'!Q16</f>
        <v>10.0953</v>
      </c>
      <c r="R16" s="99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>
      <c r="A17" s="146"/>
      <c r="B17" s="147"/>
      <c r="C17" s="122" t="s">
        <v>89</v>
      </c>
      <c r="D17" s="123"/>
      <c r="E17" s="124"/>
      <c r="F17" s="47">
        <f>F14*12/100</f>
        <v>4.8</v>
      </c>
      <c r="G17" s="48"/>
      <c r="H17" s="48"/>
      <c r="I17" s="49"/>
      <c r="J17" s="48"/>
      <c r="K17" s="48"/>
      <c r="L17" s="49"/>
      <c r="M17" s="48"/>
      <c r="N17" s="48"/>
      <c r="O17" s="49"/>
      <c r="P17" s="50">
        <f t="shared" si="0"/>
        <v>0</v>
      </c>
      <c r="Q17" s="50">
        <f>P17+'04'!Q17</f>
        <v>0.22700000000000001</v>
      </c>
      <c r="R17" s="99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>
      <c r="A18" s="146"/>
      <c r="B18" s="147"/>
      <c r="C18" s="122" t="s">
        <v>90</v>
      </c>
      <c r="D18" s="123"/>
      <c r="E18" s="124"/>
      <c r="F18" s="47" t="s">
        <v>35</v>
      </c>
      <c r="G18" s="48"/>
      <c r="H18" s="48"/>
      <c r="I18" s="49"/>
      <c r="J18" s="48"/>
      <c r="K18" s="48"/>
      <c r="L18" s="49"/>
      <c r="M18" s="48"/>
      <c r="N18" s="48"/>
      <c r="O18" s="49"/>
      <c r="P18" s="50">
        <f t="shared" si="0"/>
        <v>0</v>
      </c>
      <c r="Q18" s="50">
        <f>P18+'04'!Q18</f>
        <v>102.732</v>
      </c>
      <c r="R18" s="99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>
      <c r="A19" s="146"/>
      <c r="B19" s="147"/>
      <c r="C19" s="122" t="s">
        <v>91</v>
      </c>
      <c r="D19" s="123"/>
      <c r="E19" s="124"/>
      <c r="F19" s="47" t="s">
        <v>35</v>
      </c>
      <c r="G19" s="48">
        <v>6.32</v>
      </c>
      <c r="H19" s="48"/>
      <c r="I19" s="49" t="s">
        <v>72</v>
      </c>
      <c r="J19" s="48">
        <v>0.27200000000000002</v>
      </c>
      <c r="K19" s="48"/>
      <c r="L19" s="49" t="s">
        <v>65</v>
      </c>
      <c r="M19" s="48">
        <v>7.1210000000000004</v>
      </c>
      <c r="N19" s="48"/>
      <c r="O19" s="49" t="s">
        <v>65</v>
      </c>
      <c r="P19" s="50">
        <f t="shared" si="0"/>
        <v>13.713000000000001</v>
      </c>
      <c r="Q19" s="50">
        <f>P19+'04'!Q19</f>
        <v>13.713000000000001</v>
      </c>
      <c r="R19" s="99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>
      <c r="A20" s="146"/>
      <c r="B20" s="147"/>
      <c r="C20" s="122" t="s">
        <v>92</v>
      </c>
      <c r="D20" s="123"/>
      <c r="E20" s="124"/>
      <c r="F20" s="63" t="s">
        <v>35</v>
      </c>
      <c r="G20" s="48"/>
      <c r="H20" s="48"/>
      <c r="I20" s="49"/>
      <c r="J20" s="48">
        <v>0.37</v>
      </c>
      <c r="K20" s="48"/>
      <c r="L20" s="49" t="s">
        <v>73</v>
      </c>
      <c r="M20" s="48">
        <v>0.436</v>
      </c>
      <c r="N20" s="48"/>
      <c r="O20" s="49" t="s">
        <v>73</v>
      </c>
      <c r="P20" s="50">
        <f t="shared" si="0"/>
        <v>0.80600000000000005</v>
      </c>
      <c r="Q20" s="50">
        <f>P20+'04'!Q20</f>
        <v>0.80600000000000005</v>
      </c>
      <c r="R20" s="99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>
      <c r="A21" s="130"/>
      <c r="B21" s="131"/>
      <c r="C21" s="132" t="s">
        <v>93</v>
      </c>
      <c r="D21" s="133"/>
      <c r="E21" s="134"/>
      <c r="F21" s="52">
        <f>F14*(0.5/100)</f>
        <v>0.2</v>
      </c>
      <c r="G21" s="53">
        <v>0.40010000000000001</v>
      </c>
      <c r="H21" s="53"/>
      <c r="I21" s="54" t="s">
        <v>66</v>
      </c>
      <c r="J21" s="53">
        <v>1.4999999999999999E-2</v>
      </c>
      <c r="K21" s="53"/>
      <c r="L21" s="54" t="s">
        <v>66</v>
      </c>
      <c r="M21" s="53">
        <v>0.33789999999999998</v>
      </c>
      <c r="N21" s="53"/>
      <c r="O21" s="54" t="s">
        <v>66</v>
      </c>
      <c r="P21" s="55">
        <f t="shared" si="0"/>
        <v>0.753</v>
      </c>
      <c r="Q21" s="55">
        <f>P21+'04'!Q21</f>
        <v>4.4988999999999999</v>
      </c>
      <c r="R21" s="99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>
      <c r="A22" s="128" t="s">
        <v>105</v>
      </c>
      <c r="B22" s="129"/>
      <c r="C22" s="119" t="s">
        <v>94</v>
      </c>
      <c r="D22" s="120"/>
      <c r="E22" s="121"/>
      <c r="F22" s="56">
        <v>24</v>
      </c>
      <c r="G22" s="60"/>
      <c r="H22" s="58"/>
      <c r="I22" s="65"/>
      <c r="J22" s="60"/>
      <c r="K22" s="58"/>
      <c r="L22" s="65"/>
      <c r="M22" s="60"/>
      <c r="N22" s="58"/>
      <c r="O22" s="65"/>
      <c r="P22" s="61">
        <f t="shared" si="0"/>
        <v>0</v>
      </c>
      <c r="Q22" s="61">
        <f>P22+'04'!Q22</f>
        <v>79.344999999999999</v>
      </c>
      <c r="R22" s="102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>
      <c r="A23" s="130"/>
      <c r="B23" s="131"/>
      <c r="C23" s="132" t="s">
        <v>95</v>
      </c>
      <c r="D23" s="133"/>
      <c r="E23" s="134"/>
      <c r="F23" s="52">
        <v>24</v>
      </c>
      <c r="G23" s="53"/>
      <c r="H23" s="53"/>
      <c r="I23" s="66"/>
      <c r="J23" s="53"/>
      <c r="K23" s="53"/>
      <c r="L23" s="66"/>
      <c r="M23" s="53"/>
      <c r="N23" s="53"/>
      <c r="O23" s="66"/>
      <c r="P23" s="55">
        <f t="shared" si="0"/>
        <v>0</v>
      </c>
      <c r="Q23" s="55">
        <f>P23+'04'!Q23</f>
        <v>81.665000000000006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>
      <c r="A24" s="128" t="s">
        <v>106</v>
      </c>
      <c r="B24" s="129"/>
      <c r="C24" s="119" t="s">
        <v>96</v>
      </c>
      <c r="D24" s="120"/>
      <c r="E24" s="121"/>
      <c r="F24" s="56">
        <v>24</v>
      </c>
      <c r="G24" s="60"/>
      <c r="H24" s="58"/>
      <c r="I24" s="59"/>
      <c r="J24" s="60"/>
      <c r="K24" s="58"/>
      <c r="L24" s="59"/>
      <c r="M24" s="60"/>
      <c r="N24" s="58"/>
      <c r="O24" s="59"/>
      <c r="P24" s="61">
        <f t="shared" si="0"/>
        <v>0</v>
      </c>
      <c r="Q24" s="61">
        <f>P24+'04'!Q24</f>
        <v>105.479</v>
      </c>
      <c r="R24" s="97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>
      <c r="A25" s="135"/>
      <c r="B25" s="136"/>
      <c r="C25" s="122" t="s">
        <v>46</v>
      </c>
      <c r="D25" s="123"/>
      <c r="E25" s="124"/>
      <c r="F25" s="47" t="s">
        <v>35</v>
      </c>
      <c r="G25" s="48"/>
      <c r="H25" s="48"/>
      <c r="I25" s="49"/>
      <c r="J25" s="48"/>
      <c r="K25" s="48"/>
      <c r="L25" s="49"/>
      <c r="M25" s="48"/>
      <c r="N25" s="48"/>
      <c r="O25" s="49"/>
      <c r="P25" s="50">
        <f t="shared" si="0"/>
        <v>0</v>
      </c>
      <c r="Q25" s="50">
        <f>P25+'04'!Q25</f>
        <v>1.8388000000000002</v>
      </c>
      <c r="R25" s="99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>
      <c r="A26" s="135"/>
      <c r="B26" s="136"/>
      <c r="C26" s="122" t="s">
        <v>97</v>
      </c>
      <c r="D26" s="123"/>
      <c r="E26" s="124"/>
      <c r="F26" s="47" t="s">
        <v>35</v>
      </c>
      <c r="G26" s="48"/>
      <c r="H26" s="48"/>
      <c r="I26" s="49"/>
      <c r="J26" s="48"/>
      <c r="K26" s="48"/>
      <c r="L26" s="49"/>
      <c r="M26" s="48"/>
      <c r="N26" s="48"/>
      <c r="O26" s="49"/>
      <c r="P26" s="50">
        <f t="shared" si="0"/>
        <v>0</v>
      </c>
      <c r="Q26" s="50">
        <f>P26+'04'!Q26</f>
        <v>100.035</v>
      </c>
      <c r="R26" s="99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>
      <c r="A27" s="135"/>
      <c r="B27" s="136"/>
      <c r="C27" s="122" t="s">
        <v>98</v>
      </c>
      <c r="D27" s="123"/>
      <c r="E27" s="124"/>
      <c r="F27" s="47" t="s">
        <v>35</v>
      </c>
      <c r="G27" s="48"/>
      <c r="H27" s="48"/>
      <c r="I27" s="49"/>
      <c r="J27" s="48"/>
      <c r="K27" s="48"/>
      <c r="L27" s="49"/>
      <c r="M27" s="48"/>
      <c r="N27" s="48"/>
      <c r="O27" s="49"/>
      <c r="P27" s="50">
        <f t="shared" si="0"/>
        <v>0</v>
      </c>
      <c r="Q27" s="50">
        <f>P27+'04'!Q27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>
      <c r="A28" s="130"/>
      <c r="B28" s="131"/>
      <c r="C28" s="132" t="s">
        <v>99</v>
      </c>
      <c r="D28" s="133"/>
      <c r="E28" s="134"/>
      <c r="F28" s="52" t="s">
        <v>35</v>
      </c>
      <c r="G28" s="53"/>
      <c r="H28" s="53"/>
      <c r="I28" s="54"/>
      <c r="J28" s="53"/>
      <c r="K28" s="53"/>
      <c r="L28" s="54"/>
      <c r="M28" s="53"/>
      <c r="N28" s="53"/>
      <c r="O28" s="54"/>
      <c r="P28" s="55">
        <f t="shared" si="0"/>
        <v>0</v>
      </c>
      <c r="Q28" s="55">
        <f>P28+'04'!Q28</f>
        <v>3.6286</v>
      </c>
      <c r="R28" s="97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>
      <c r="A29" s="113">
        <v>104</v>
      </c>
      <c r="B29" s="114"/>
      <c r="C29" s="119" t="s">
        <v>100</v>
      </c>
      <c r="D29" s="120"/>
      <c r="E29" s="121"/>
      <c r="F29" s="56"/>
      <c r="G29" s="60"/>
      <c r="H29" s="58"/>
      <c r="I29" s="59"/>
      <c r="J29" s="60"/>
      <c r="K29" s="58"/>
      <c r="L29" s="59"/>
      <c r="M29" s="60">
        <v>12.35</v>
      </c>
      <c r="N29" s="58"/>
      <c r="O29" s="59" t="s">
        <v>55</v>
      </c>
      <c r="P29" s="61">
        <f t="shared" si="0"/>
        <v>12.35</v>
      </c>
      <c r="Q29" s="61">
        <f>P29+'04'!Q29</f>
        <v>49.398000000000003</v>
      </c>
      <c r="R29" s="102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>
      <c r="A30" s="115"/>
      <c r="B30" s="116"/>
      <c r="C30" s="122" t="s">
        <v>102</v>
      </c>
      <c r="D30" s="123"/>
      <c r="E30" s="124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50">
        <f t="shared" si="0"/>
        <v>0</v>
      </c>
      <c r="Q30" s="50">
        <f>P30+'04'!Q30</f>
        <v>0</v>
      </c>
      <c r="R30" s="99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>
      <c r="A31" s="115"/>
      <c r="B31" s="116"/>
      <c r="C31" s="122" t="s">
        <v>101</v>
      </c>
      <c r="D31" s="123"/>
      <c r="E31" s="124"/>
      <c r="F31" s="47"/>
      <c r="G31" s="48"/>
      <c r="H31" s="48"/>
      <c r="I31" s="49"/>
      <c r="J31" s="48"/>
      <c r="K31" s="48"/>
      <c r="L31" s="49"/>
      <c r="M31" s="48">
        <v>2.468</v>
      </c>
      <c r="N31" s="48"/>
      <c r="O31" s="49" t="s">
        <v>58</v>
      </c>
      <c r="P31" s="50">
        <f t="shared" si="0"/>
        <v>2.468</v>
      </c>
      <c r="Q31" s="50">
        <f>P31+'04'!Q31</f>
        <v>9.8689999999999998</v>
      </c>
      <c r="R31" s="99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>
      <c r="A32" s="115"/>
      <c r="B32" s="116"/>
      <c r="C32" s="122" t="s">
        <v>103</v>
      </c>
      <c r="D32" s="123"/>
      <c r="E32" s="124"/>
      <c r="F32" s="47"/>
      <c r="G32" s="48"/>
      <c r="H32" s="48"/>
      <c r="I32" s="49"/>
      <c r="J32" s="48">
        <v>9.1359999999999992</v>
      </c>
      <c r="K32" s="48"/>
      <c r="L32" s="49" t="s">
        <v>74</v>
      </c>
      <c r="M32" s="49">
        <v>3.6859999999999999</v>
      </c>
      <c r="N32" s="48"/>
      <c r="O32" s="49" t="s">
        <v>74</v>
      </c>
      <c r="P32" s="50">
        <f t="shared" si="0"/>
        <v>12.821999999999999</v>
      </c>
      <c r="Q32" s="50">
        <f>P32+'04'!Q32</f>
        <v>48.822000000000003</v>
      </c>
      <c r="R32" s="99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>
      <c r="A33" s="117"/>
      <c r="B33" s="118"/>
      <c r="C33" s="125" t="s">
        <v>104</v>
      </c>
      <c r="D33" s="126"/>
      <c r="E33" s="127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72">
        <f>G33+J33+M33</f>
        <v>0</v>
      </c>
      <c r="Q33" s="72">
        <f>P33+'04'!Q33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/>
    <row r="35" spans="1:26" ht="14.1" customHeight="1"/>
    <row r="36" spans="1:26" ht="14.1" customHeight="1"/>
    <row r="37" spans="1:26" ht="14.1" customHeight="1"/>
    <row r="38" spans="1:26" ht="14.1" customHeight="1"/>
    <row r="39" spans="1:26" ht="14.1" customHeight="1"/>
    <row r="40" spans="1:26" ht="14.1" customHeight="1"/>
    <row r="41" spans="1:26" ht="14.1" customHeight="1"/>
    <row r="42" spans="1:26" ht="14.1" customHeight="1"/>
    <row r="43" spans="1:26" ht="14.1" customHeight="1"/>
    <row r="44" spans="1:26" ht="14.1" customHeight="1"/>
    <row r="45" spans="1:26" ht="14.1" customHeight="1"/>
    <row r="46" spans="1:26" ht="14.1" customHeight="1"/>
    <row r="47" spans="1:26" ht="14.1" customHeight="1"/>
    <row r="48" spans="1:26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  <row r="58" ht="14.1" customHeight="1"/>
    <row r="59" ht="14.1" customHeight="1"/>
    <row r="60" ht="14.1" customHeight="1"/>
    <row r="61" ht="14.1" customHeight="1"/>
    <row r="62" ht="14.1" customHeight="1"/>
    <row r="63" ht="14.1" customHeight="1"/>
    <row r="64" ht="14.1" customHeight="1"/>
    <row r="65" ht="14.1" customHeight="1"/>
    <row r="66" ht="14.1" customHeight="1"/>
    <row r="67" ht="14.1" customHeight="1"/>
    <row r="68" ht="15" customHeight="1"/>
    <row r="69" ht="12.95" customHeight="1"/>
    <row r="70" ht="14.1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4.1" customHeight="1"/>
    <row r="122" ht="14.1" customHeight="1"/>
    <row r="123" ht="14.1" customHeight="1"/>
    <row r="124" ht="14.1" customHeight="1"/>
    <row r="125" ht="14.1" customHeight="1"/>
    <row r="126" ht="10.5" customHeight="1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4E3C3D8F-B049-4E9C-B55E-173059BB217C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BBEB3-C569-4429-868D-E8AF1A1728A2}">
  <sheetPr codeName="Sheet9"/>
  <dimension ref="A1:Z126"/>
  <sheetViews>
    <sheetView showGridLines="0" zoomScale="85" zoomScaleNormal="85" zoomScaleSheetLayoutView="113" workbookViewId="0">
      <selection activeCell="A11" sqref="A11:E33"/>
    </sheetView>
  </sheetViews>
  <sheetFormatPr defaultColWidth="10.140625" defaultRowHeight="1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7.8554687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8" width="8.42578125" customWidth="1"/>
    <col min="27" max="16384" width="10.140625" style="9"/>
  </cols>
  <sheetData>
    <row r="1" spans="1:26" ht="15" customHeight="1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>
      <c r="A2" s="10"/>
      <c r="B2" s="10"/>
      <c r="C2" s="10"/>
      <c r="D2" s="10"/>
      <c r="E2" s="10"/>
      <c r="F2" s="10"/>
      <c r="G2" s="173"/>
      <c r="H2" s="173"/>
      <c r="I2" s="173"/>
      <c r="J2" s="173"/>
      <c r="K2" s="173"/>
      <c r="L2" s="173"/>
      <c r="M2" s="10"/>
      <c r="N2" s="11"/>
      <c r="O2" s="174"/>
      <c r="P2" s="174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>
      <c r="A3" s="10"/>
      <c r="B3" s="10"/>
      <c r="C3" s="10"/>
      <c r="D3" s="10"/>
      <c r="E3" s="10"/>
      <c r="F3" s="10"/>
      <c r="G3" s="173"/>
      <c r="H3" s="173"/>
      <c r="I3" s="173"/>
      <c r="J3" s="173"/>
      <c r="K3" s="173"/>
      <c r="L3" s="173"/>
      <c r="M3" s="10"/>
      <c r="N3" s="11"/>
      <c r="O3" s="174"/>
      <c r="P3" s="174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>
      <c r="A4" s="10"/>
      <c r="B4" s="10"/>
      <c r="C4" s="10"/>
      <c r="D4" s="10"/>
      <c r="E4" s="10"/>
      <c r="F4" s="10"/>
      <c r="G4" s="173"/>
      <c r="H4" s="173"/>
      <c r="I4" s="173"/>
      <c r="J4" s="173"/>
      <c r="K4" s="173"/>
      <c r="L4" s="173"/>
      <c r="M4" s="10"/>
      <c r="N4" s="11"/>
      <c r="O4" s="174"/>
      <c r="P4" s="174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>
      <c r="A5" s="169" t="s">
        <v>8</v>
      </c>
      <c r="B5" s="169"/>
      <c r="C5" s="16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>
      <c r="A6" s="169" t="s">
        <v>10</v>
      </c>
      <c r="B6" s="169"/>
      <c r="C6" s="169"/>
      <c r="D6" s="179">
        <f>'05'!D6+1</f>
        <v>46059</v>
      </c>
      <c r="E6" s="179"/>
      <c r="F6" s="28"/>
      <c r="G6" s="171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>
      <c r="A8" s="175" t="s">
        <v>11</v>
      </c>
      <c r="B8" s="175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9"/>
      <c r="T8" s="9"/>
      <c r="U8" s="9"/>
      <c r="V8" s="9"/>
      <c r="W8" s="9"/>
      <c r="X8" s="9"/>
      <c r="Y8" s="9"/>
      <c r="Z8" s="9"/>
    </row>
    <row r="9" spans="1:26" ht="24.95" customHeight="1">
      <c r="A9" s="158" t="s">
        <v>12</v>
      </c>
      <c r="B9" s="159"/>
      <c r="C9" s="162" t="s">
        <v>13</v>
      </c>
      <c r="D9" s="162"/>
      <c r="E9" s="163"/>
      <c r="F9" s="20" t="s">
        <v>14</v>
      </c>
      <c r="G9" s="166" t="s">
        <v>15</v>
      </c>
      <c r="H9" s="167"/>
      <c r="I9" s="21" t="s">
        <v>16</v>
      </c>
      <c r="J9" s="166" t="s">
        <v>17</v>
      </c>
      <c r="K9" s="167"/>
      <c r="L9" s="21" t="s">
        <v>16</v>
      </c>
      <c r="M9" s="166" t="s">
        <v>18</v>
      </c>
      <c r="N9" s="167"/>
      <c r="O9" s="22" t="s">
        <v>16</v>
      </c>
      <c r="P9" s="167" t="s">
        <v>19</v>
      </c>
      <c r="Q9" s="167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>
      <c r="A10" s="160"/>
      <c r="B10" s="161"/>
      <c r="C10" s="164"/>
      <c r="D10" s="164"/>
      <c r="E10" s="165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68"/>
      <c r="Q10" s="168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>
      <c r="A11" s="137">
        <v>101</v>
      </c>
      <c r="B11" s="138"/>
      <c r="C11" s="139" t="s">
        <v>83</v>
      </c>
      <c r="D11" s="139"/>
      <c r="E11" s="140"/>
      <c r="F11" s="41">
        <v>60</v>
      </c>
      <c r="G11" s="42">
        <v>15.8</v>
      </c>
      <c r="H11" s="43"/>
      <c r="I11" s="44" t="s">
        <v>67</v>
      </c>
      <c r="J11" s="42">
        <v>22</v>
      </c>
      <c r="K11" s="43"/>
      <c r="L11" s="44" t="s">
        <v>67</v>
      </c>
      <c r="M11" s="42">
        <v>22.7</v>
      </c>
      <c r="N11" s="43"/>
      <c r="O11" s="44" t="s">
        <v>67</v>
      </c>
      <c r="P11" s="45">
        <f>G11+J11+M11</f>
        <v>60.5</v>
      </c>
      <c r="Q11" s="105">
        <f>P11+'05'!Q11</f>
        <v>173.9</v>
      </c>
      <c r="R11" s="97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>
      <c r="A12" s="135"/>
      <c r="B12" s="136"/>
      <c r="C12" s="141" t="s">
        <v>84</v>
      </c>
      <c r="D12" s="141"/>
      <c r="E12" s="142"/>
      <c r="F12" s="47">
        <v>30</v>
      </c>
      <c r="G12" s="48">
        <v>10.5</v>
      </c>
      <c r="H12" s="48"/>
      <c r="I12" s="49" t="s">
        <v>69</v>
      </c>
      <c r="J12" s="48">
        <v>10.4</v>
      </c>
      <c r="K12" s="48"/>
      <c r="L12" s="49" t="s">
        <v>69</v>
      </c>
      <c r="M12" s="48">
        <v>13.1</v>
      </c>
      <c r="N12" s="48"/>
      <c r="O12" s="49" t="s">
        <v>69</v>
      </c>
      <c r="P12" s="50">
        <f t="shared" ref="P12:P32" si="0">G12+J12+M12</f>
        <v>34</v>
      </c>
      <c r="Q12" s="50">
        <f>P12+'05'!Q12</f>
        <v>77.7</v>
      </c>
      <c r="R12" s="99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>
      <c r="A13" s="130"/>
      <c r="B13" s="131"/>
      <c r="C13" s="143" t="s">
        <v>85</v>
      </c>
      <c r="D13" s="143"/>
      <c r="E13" s="144"/>
      <c r="F13" s="52">
        <v>30</v>
      </c>
      <c r="G13" s="53">
        <v>7.7</v>
      </c>
      <c r="H13" s="53"/>
      <c r="I13" s="54" t="s">
        <v>70</v>
      </c>
      <c r="J13" s="53">
        <v>10.7</v>
      </c>
      <c r="K13" s="53"/>
      <c r="L13" s="54" t="s">
        <v>70</v>
      </c>
      <c r="M13" s="53">
        <v>8.6999999999999993</v>
      </c>
      <c r="N13" s="53"/>
      <c r="O13" s="54" t="s">
        <v>70</v>
      </c>
      <c r="P13" s="55">
        <f t="shared" si="0"/>
        <v>27.099999999999998</v>
      </c>
      <c r="Q13" s="55">
        <f>P13+'05'!Q13</f>
        <v>56.8</v>
      </c>
      <c r="R13" s="99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>
      <c r="A14" s="128">
        <v>102</v>
      </c>
      <c r="B14" s="145"/>
      <c r="C14" s="148" t="s">
        <v>86</v>
      </c>
      <c r="D14" s="149"/>
      <c r="E14" s="150"/>
      <c r="F14" s="56">
        <v>40</v>
      </c>
      <c r="G14" s="57">
        <v>6.1840000000000002</v>
      </c>
      <c r="H14" s="58"/>
      <c r="I14" s="59" t="s">
        <v>62</v>
      </c>
      <c r="J14" s="60">
        <v>8.173</v>
      </c>
      <c r="K14" s="58"/>
      <c r="L14" s="59" t="s">
        <v>62</v>
      </c>
      <c r="M14" s="60">
        <v>7.6680000000000001</v>
      </c>
      <c r="N14" s="58"/>
      <c r="O14" s="59" t="s">
        <v>62</v>
      </c>
      <c r="P14" s="61">
        <f t="shared" si="0"/>
        <v>22.024999999999999</v>
      </c>
      <c r="Q14" s="61">
        <f>P14+'05'!Q14</f>
        <v>154.12100000000001</v>
      </c>
      <c r="R14" s="102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>
      <c r="A15" s="146"/>
      <c r="B15" s="147"/>
      <c r="C15" s="151" t="s">
        <v>87</v>
      </c>
      <c r="D15" s="152"/>
      <c r="E15" s="153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50">
        <f t="shared" si="0"/>
        <v>0</v>
      </c>
      <c r="Q15" s="50">
        <f>P15+'05'!Q15</f>
        <v>0</v>
      </c>
      <c r="R15" s="97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>
      <c r="A16" s="146"/>
      <c r="B16" s="147"/>
      <c r="C16" s="154" t="s">
        <v>88</v>
      </c>
      <c r="D16" s="155"/>
      <c r="E16" s="156"/>
      <c r="F16" s="47">
        <f>F14*(2/100)</f>
        <v>0.8</v>
      </c>
      <c r="G16" s="48">
        <v>0.78300000000000003</v>
      </c>
      <c r="H16" s="48"/>
      <c r="I16" s="49">
        <v>100</v>
      </c>
      <c r="J16" s="48">
        <v>0.73399999999999999</v>
      </c>
      <c r="K16" s="48"/>
      <c r="L16" s="49">
        <v>100</v>
      </c>
      <c r="M16" s="48">
        <v>0.69299999999999995</v>
      </c>
      <c r="N16" s="48"/>
      <c r="O16" s="49">
        <v>100</v>
      </c>
      <c r="P16" s="50">
        <f t="shared" si="0"/>
        <v>2.21</v>
      </c>
      <c r="Q16" s="50">
        <f>P16+'05'!Q16</f>
        <v>12.305299999999999</v>
      </c>
      <c r="R16" s="99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>
      <c r="A17" s="146"/>
      <c r="B17" s="147"/>
      <c r="C17" s="122" t="s">
        <v>89</v>
      </c>
      <c r="D17" s="123"/>
      <c r="E17" s="124"/>
      <c r="F17" s="47">
        <f>F14*12/100</f>
        <v>4.8</v>
      </c>
      <c r="G17" s="48"/>
      <c r="H17" s="48"/>
      <c r="I17" s="49"/>
      <c r="J17" s="48"/>
      <c r="K17" s="48"/>
      <c r="L17" s="49"/>
      <c r="M17" s="48"/>
      <c r="N17" s="48"/>
      <c r="O17" s="49"/>
      <c r="P17" s="50">
        <f t="shared" si="0"/>
        <v>0</v>
      </c>
      <c r="Q17" s="50">
        <f>P17+'05'!Q17</f>
        <v>0.22700000000000001</v>
      </c>
      <c r="R17" s="99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>
      <c r="A18" s="146"/>
      <c r="B18" s="147"/>
      <c r="C18" s="122" t="s">
        <v>90</v>
      </c>
      <c r="D18" s="123"/>
      <c r="E18" s="124"/>
      <c r="F18" s="47" t="s">
        <v>35</v>
      </c>
      <c r="G18" s="48"/>
      <c r="H18" s="48"/>
      <c r="I18" s="49"/>
      <c r="J18" s="48"/>
      <c r="K18" s="48"/>
      <c r="L18" s="49"/>
      <c r="M18" s="48"/>
      <c r="N18" s="48"/>
      <c r="O18" s="49"/>
      <c r="P18" s="50">
        <f t="shared" si="0"/>
        <v>0</v>
      </c>
      <c r="Q18" s="50">
        <f>P18+'05'!Q18</f>
        <v>102.732</v>
      </c>
      <c r="R18" s="99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>
      <c r="A19" s="146"/>
      <c r="B19" s="147"/>
      <c r="C19" s="122" t="s">
        <v>91</v>
      </c>
      <c r="D19" s="123"/>
      <c r="E19" s="124"/>
      <c r="F19" s="47" t="s">
        <v>35</v>
      </c>
      <c r="G19" s="48">
        <v>4.2480000000000002</v>
      </c>
      <c r="H19" s="48"/>
      <c r="I19" s="49" t="s">
        <v>75</v>
      </c>
      <c r="J19" s="48">
        <v>6.0869999999999997</v>
      </c>
      <c r="K19" s="48"/>
      <c r="L19" s="49" t="s">
        <v>75</v>
      </c>
      <c r="M19" s="48">
        <v>6.1280000000000001</v>
      </c>
      <c r="N19" s="48"/>
      <c r="O19" s="49" t="s">
        <v>75</v>
      </c>
      <c r="P19" s="50">
        <f t="shared" si="0"/>
        <v>16.463000000000001</v>
      </c>
      <c r="Q19" s="50">
        <f>P19+'05'!Q19</f>
        <v>30.176000000000002</v>
      </c>
      <c r="R19" s="99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>
      <c r="A20" s="146"/>
      <c r="B20" s="147"/>
      <c r="C20" s="122" t="s">
        <v>92</v>
      </c>
      <c r="D20" s="123"/>
      <c r="E20" s="124"/>
      <c r="F20" s="63" t="s">
        <v>35</v>
      </c>
      <c r="G20" s="48"/>
      <c r="H20" s="48"/>
      <c r="I20" s="49"/>
      <c r="J20" s="48"/>
      <c r="K20" s="48"/>
      <c r="L20" s="49"/>
      <c r="M20" s="48"/>
      <c r="N20" s="48"/>
      <c r="O20" s="49"/>
      <c r="P20" s="50">
        <f t="shared" si="0"/>
        <v>0</v>
      </c>
      <c r="Q20" s="50">
        <f>P20+'05'!Q20</f>
        <v>0.80600000000000005</v>
      </c>
      <c r="R20" s="99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>
      <c r="A21" s="130"/>
      <c r="B21" s="131"/>
      <c r="C21" s="132" t="s">
        <v>93</v>
      </c>
      <c r="D21" s="133"/>
      <c r="E21" s="134"/>
      <c r="F21" s="52">
        <f>F14*(0.5/100)</f>
        <v>0.2</v>
      </c>
      <c r="G21" s="53">
        <v>0.42170000000000002</v>
      </c>
      <c r="H21" s="53"/>
      <c r="I21" s="54" t="s">
        <v>66</v>
      </c>
      <c r="J21" s="53">
        <v>1.3149999999999999</v>
      </c>
      <c r="K21" s="53"/>
      <c r="L21" s="54" t="s">
        <v>66</v>
      </c>
      <c r="M21" s="53">
        <v>0.92130000000000001</v>
      </c>
      <c r="N21" s="53"/>
      <c r="O21" s="54" t="s">
        <v>66</v>
      </c>
      <c r="P21" s="55">
        <f t="shared" si="0"/>
        <v>2.6579999999999999</v>
      </c>
      <c r="Q21" s="55">
        <f>P21+'05'!Q21</f>
        <v>7.1569000000000003</v>
      </c>
      <c r="R21" s="99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>
      <c r="A22" s="128" t="s">
        <v>105</v>
      </c>
      <c r="B22" s="129"/>
      <c r="C22" s="119" t="s">
        <v>94</v>
      </c>
      <c r="D22" s="120"/>
      <c r="E22" s="121"/>
      <c r="F22" s="56">
        <v>24</v>
      </c>
      <c r="G22" s="60"/>
      <c r="H22" s="58"/>
      <c r="I22" s="65"/>
      <c r="J22" s="60"/>
      <c r="K22" s="58"/>
      <c r="L22" s="65"/>
      <c r="M22" s="60"/>
      <c r="N22" s="58"/>
      <c r="O22" s="65"/>
      <c r="P22" s="61">
        <f t="shared" si="0"/>
        <v>0</v>
      </c>
      <c r="Q22" s="61">
        <f>P22+'05'!Q22</f>
        <v>79.344999999999999</v>
      </c>
      <c r="R22" s="102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>
      <c r="A23" s="130"/>
      <c r="B23" s="131"/>
      <c r="C23" s="132" t="s">
        <v>95</v>
      </c>
      <c r="D23" s="133"/>
      <c r="E23" s="134"/>
      <c r="F23" s="52">
        <v>24</v>
      </c>
      <c r="G23" s="53"/>
      <c r="H23" s="53"/>
      <c r="I23" s="66"/>
      <c r="J23" s="53"/>
      <c r="K23" s="53"/>
      <c r="L23" s="66"/>
      <c r="M23" s="53"/>
      <c r="N23" s="53"/>
      <c r="O23" s="66"/>
      <c r="P23" s="55">
        <f t="shared" si="0"/>
        <v>0</v>
      </c>
      <c r="Q23" s="55">
        <f>P23+'05'!Q23</f>
        <v>81.665000000000006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>
      <c r="A24" s="128" t="s">
        <v>106</v>
      </c>
      <c r="B24" s="129"/>
      <c r="C24" s="119" t="s">
        <v>96</v>
      </c>
      <c r="D24" s="120"/>
      <c r="E24" s="121"/>
      <c r="F24" s="56">
        <v>24</v>
      </c>
      <c r="G24" s="60"/>
      <c r="H24" s="58"/>
      <c r="I24" s="59"/>
      <c r="J24" s="60"/>
      <c r="K24" s="58"/>
      <c r="L24" s="59"/>
      <c r="M24" s="60"/>
      <c r="N24" s="58"/>
      <c r="O24" s="59"/>
      <c r="P24" s="61">
        <f t="shared" si="0"/>
        <v>0</v>
      </c>
      <c r="Q24" s="61">
        <f>P24+'05'!Q24</f>
        <v>105.479</v>
      </c>
      <c r="R24" s="97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>
      <c r="A25" s="135"/>
      <c r="B25" s="136"/>
      <c r="C25" s="122" t="s">
        <v>46</v>
      </c>
      <c r="D25" s="123"/>
      <c r="E25" s="124"/>
      <c r="F25" s="47" t="s">
        <v>35</v>
      </c>
      <c r="G25" s="48"/>
      <c r="H25" s="48"/>
      <c r="I25" s="49"/>
      <c r="J25" s="48"/>
      <c r="K25" s="48"/>
      <c r="L25" s="49"/>
      <c r="M25" s="48"/>
      <c r="N25" s="48"/>
      <c r="O25" s="49"/>
      <c r="P25" s="50">
        <f t="shared" si="0"/>
        <v>0</v>
      </c>
      <c r="Q25" s="50">
        <f>P25+'05'!Q25</f>
        <v>1.8388000000000002</v>
      </c>
      <c r="R25" s="99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>
      <c r="A26" s="135"/>
      <c r="B26" s="136"/>
      <c r="C26" s="122" t="s">
        <v>97</v>
      </c>
      <c r="D26" s="123"/>
      <c r="E26" s="124"/>
      <c r="F26" s="47" t="s">
        <v>35</v>
      </c>
      <c r="G26" s="48"/>
      <c r="H26" s="48"/>
      <c r="I26" s="49"/>
      <c r="J26" s="48"/>
      <c r="K26" s="48"/>
      <c r="L26" s="49"/>
      <c r="M26" s="48"/>
      <c r="N26" s="48"/>
      <c r="O26" s="49"/>
      <c r="P26" s="50">
        <f t="shared" si="0"/>
        <v>0</v>
      </c>
      <c r="Q26" s="50">
        <f>P26+'05'!Q26</f>
        <v>100.035</v>
      </c>
      <c r="R26" s="99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>
      <c r="A27" s="135"/>
      <c r="B27" s="136"/>
      <c r="C27" s="122" t="s">
        <v>98</v>
      </c>
      <c r="D27" s="123"/>
      <c r="E27" s="124"/>
      <c r="F27" s="47" t="s">
        <v>35</v>
      </c>
      <c r="G27" s="48"/>
      <c r="H27" s="48"/>
      <c r="I27" s="49"/>
      <c r="J27" s="48"/>
      <c r="K27" s="48"/>
      <c r="L27" s="49"/>
      <c r="M27" s="48"/>
      <c r="N27" s="48"/>
      <c r="O27" s="49"/>
      <c r="P27" s="50">
        <f t="shared" si="0"/>
        <v>0</v>
      </c>
      <c r="Q27" s="50">
        <f>P27+'05'!Q27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>
      <c r="A28" s="130"/>
      <c r="B28" s="131"/>
      <c r="C28" s="132" t="s">
        <v>99</v>
      </c>
      <c r="D28" s="133"/>
      <c r="E28" s="134"/>
      <c r="F28" s="52" t="s">
        <v>35</v>
      </c>
      <c r="G28" s="53"/>
      <c r="H28" s="53"/>
      <c r="I28" s="54"/>
      <c r="J28" s="53"/>
      <c r="K28" s="53"/>
      <c r="L28" s="54"/>
      <c r="M28" s="53"/>
      <c r="N28" s="53"/>
      <c r="O28" s="54"/>
      <c r="P28" s="55">
        <f t="shared" si="0"/>
        <v>0</v>
      </c>
      <c r="Q28" s="55">
        <f>P28+'05'!Q28</f>
        <v>3.6286</v>
      </c>
      <c r="R28" s="97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>
      <c r="A29" s="113">
        <v>104</v>
      </c>
      <c r="B29" s="114"/>
      <c r="C29" s="119" t="s">
        <v>100</v>
      </c>
      <c r="D29" s="120"/>
      <c r="E29" s="121"/>
      <c r="F29" s="56"/>
      <c r="G29" s="60"/>
      <c r="H29" s="58"/>
      <c r="I29" s="59"/>
      <c r="J29" s="60"/>
      <c r="K29" s="58"/>
      <c r="L29" s="59"/>
      <c r="M29" s="60"/>
      <c r="N29" s="58"/>
      <c r="O29" s="59"/>
      <c r="P29" s="61">
        <f t="shared" si="0"/>
        <v>0</v>
      </c>
      <c r="Q29" s="61">
        <f>P29+'05'!Q29</f>
        <v>49.398000000000003</v>
      </c>
      <c r="R29" s="102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>
      <c r="A30" s="115"/>
      <c r="B30" s="116"/>
      <c r="C30" s="122" t="s">
        <v>102</v>
      </c>
      <c r="D30" s="123"/>
      <c r="E30" s="124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50">
        <f t="shared" si="0"/>
        <v>0</v>
      </c>
      <c r="Q30" s="50">
        <f>P30+'05'!Q30</f>
        <v>0</v>
      </c>
      <c r="R30" s="99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>
      <c r="A31" s="115"/>
      <c r="B31" s="116"/>
      <c r="C31" s="122" t="s">
        <v>101</v>
      </c>
      <c r="D31" s="123"/>
      <c r="E31" s="124"/>
      <c r="F31" s="47"/>
      <c r="G31" s="48"/>
      <c r="H31" s="48"/>
      <c r="I31" s="49"/>
      <c r="J31" s="48"/>
      <c r="K31" s="48"/>
      <c r="L31" s="49"/>
      <c r="M31" s="48"/>
      <c r="N31" s="48"/>
      <c r="O31" s="49"/>
      <c r="P31" s="50">
        <f t="shared" si="0"/>
        <v>0</v>
      </c>
      <c r="Q31" s="50">
        <f>P31+'05'!Q31</f>
        <v>9.8689999999999998</v>
      </c>
      <c r="R31" s="99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>
      <c r="A32" s="115"/>
      <c r="B32" s="116"/>
      <c r="C32" s="122" t="s">
        <v>103</v>
      </c>
      <c r="D32" s="123"/>
      <c r="E32" s="124"/>
      <c r="F32" s="47"/>
      <c r="G32" s="48"/>
      <c r="H32" s="48"/>
      <c r="I32" s="49"/>
      <c r="J32" s="48">
        <v>1.5509999999999999</v>
      </c>
      <c r="K32" s="48"/>
      <c r="L32" s="49" t="s">
        <v>74</v>
      </c>
      <c r="M32" s="49">
        <v>11.378</v>
      </c>
      <c r="N32" s="48"/>
      <c r="O32" s="49" t="s">
        <v>74</v>
      </c>
      <c r="P32" s="50">
        <f t="shared" si="0"/>
        <v>12.929</v>
      </c>
      <c r="Q32" s="50">
        <f>P32+'05'!Q32</f>
        <v>61.751000000000005</v>
      </c>
      <c r="R32" s="99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>
      <c r="A33" s="117"/>
      <c r="B33" s="118"/>
      <c r="C33" s="125" t="s">
        <v>104</v>
      </c>
      <c r="D33" s="126"/>
      <c r="E33" s="127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72">
        <f>G33+J33+M33</f>
        <v>0</v>
      </c>
      <c r="Q33" s="72">
        <f>P33+'05'!Q33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/>
    <row r="35" spans="1:26" ht="14.1" customHeight="1"/>
    <row r="36" spans="1:26" ht="14.1" customHeight="1"/>
    <row r="37" spans="1:26" ht="14.1" customHeight="1"/>
    <row r="38" spans="1:26" ht="14.1" customHeight="1"/>
    <row r="39" spans="1:26" ht="14.1" customHeight="1"/>
    <row r="40" spans="1:26" ht="14.1" customHeight="1"/>
    <row r="41" spans="1:26" ht="14.1" customHeight="1"/>
    <row r="42" spans="1:26" ht="14.1" customHeight="1"/>
    <row r="43" spans="1:26" ht="14.1" customHeight="1"/>
    <row r="44" spans="1:26" ht="14.1" customHeight="1"/>
    <row r="45" spans="1:26" ht="14.1" customHeight="1"/>
    <row r="46" spans="1:26" ht="14.1" customHeight="1"/>
    <row r="47" spans="1:26" ht="14.1" customHeight="1"/>
    <row r="48" spans="1:26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  <row r="58" ht="14.1" customHeight="1"/>
    <row r="59" ht="14.1" customHeight="1"/>
    <row r="60" ht="14.1" customHeight="1"/>
    <row r="61" ht="14.1" customHeight="1"/>
    <row r="62" ht="14.1" customHeight="1"/>
    <row r="63" ht="14.1" customHeight="1"/>
    <row r="64" ht="14.1" customHeight="1"/>
    <row r="65" ht="14.1" customHeight="1"/>
    <row r="66" ht="14.1" customHeight="1"/>
    <row r="67" ht="14.1" customHeight="1"/>
    <row r="68" ht="15" customHeight="1"/>
    <row r="69" ht="12.95" customHeight="1"/>
    <row r="70" ht="14.1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4.1" customHeight="1"/>
    <row r="122" ht="14.1" customHeight="1"/>
    <row r="123" ht="14.1" customHeight="1"/>
    <row r="124" ht="14.1" customHeight="1"/>
    <row r="125" ht="14.1" customHeight="1"/>
    <row r="126" ht="10.5" customHeight="1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B8EE93C1-F0F1-4C51-A0EC-00BFA11CA921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D0667-90C3-47D6-BC37-773D63590DE0}">
  <sheetPr codeName="Sheet10"/>
  <dimension ref="A1:Z126"/>
  <sheetViews>
    <sheetView showGridLines="0" zoomScale="85" zoomScaleNormal="85" zoomScaleSheetLayoutView="113" workbookViewId="0">
      <selection activeCell="A11" sqref="A11:E33"/>
    </sheetView>
  </sheetViews>
  <sheetFormatPr defaultColWidth="10.140625" defaultRowHeight="1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9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8" width="8.42578125" customWidth="1"/>
    <col min="27" max="16384" width="10.140625" style="9"/>
  </cols>
  <sheetData>
    <row r="1" spans="1:26" ht="15" customHeight="1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>
      <c r="A2" s="10"/>
      <c r="B2" s="10"/>
      <c r="C2" s="10"/>
      <c r="D2" s="10"/>
      <c r="E2" s="10"/>
      <c r="F2" s="10"/>
      <c r="G2" s="173"/>
      <c r="H2" s="173"/>
      <c r="I2" s="173"/>
      <c r="J2" s="173"/>
      <c r="K2" s="173"/>
      <c r="L2" s="173"/>
      <c r="M2" s="10"/>
      <c r="N2" s="11"/>
      <c r="O2" s="174"/>
      <c r="P2" s="174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>
      <c r="A3" s="10"/>
      <c r="B3" s="10"/>
      <c r="C3" s="10"/>
      <c r="D3" s="10"/>
      <c r="E3" s="10"/>
      <c r="F3" s="10"/>
      <c r="G3" s="173"/>
      <c r="H3" s="173"/>
      <c r="I3" s="173"/>
      <c r="J3" s="173"/>
      <c r="K3" s="173"/>
      <c r="L3" s="173"/>
      <c r="M3" s="10"/>
      <c r="N3" s="11"/>
      <c r="O3" s="174"/>
      <c r="P3" s="174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>
      <c r="A4" s="10"/>
      <c r="B4" s="10"/>
      <c r="C4" s="10"/>
      <c r="D4" s="10"/>
      <c r="E4" s="10"/>
      <c r="F4" s="10"/>
      <c r="G4" s="173"/>
      <c r="H4" s="173"/>
      <c r="I4" s="173"/>
      <c r="J4" s="173"/>
      <c r="K4" s="173"/>
      <c r="L4" s="173"/>
      <c r="M4" s="10"/>
      <c r="N4" s="11"/>
      <c r="O4" s="174"/>
      <c r="P4" s="174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>
      <c r="A5" s="169" t="s">
        <v>8</v>
      </c>
      <c r="B5" s="169"/>
      <c r="C5" s="16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>
      <c r="A6" s="169" t="s">
        <v>10</v>
      </c>
      <c r="B6" s="169"/>
      <c r="C6" s="169"/>
      <c r="D6" s="179">
        <f>'06'!D6+1</f>
        <v>46060</v>
      </c>
      <c r="E6" s="179"/>
      <c r="F6" s="28"/>
      <c r="G6" s="171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>
      <c r="A8" s="175" t="s">
        <v>11</v>
      </c>
      <c r="B8" s="175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9"/>
      <c r="T8" s="9"/>
      <c r="U8" s="9"/>
      <c r="V8" s="9"/>
      <c r="W8" s="9"/>
      <c r="X8" s="9"/>
      <c r="Y8" s="9"/>
      <c r="Z8" s="9"/>
    </row>
    <row r="9" spans="1:26" ht="24.95" customHeight="1">
      <c r="A9" s="158" t="s">
        <v>12</v>
      </c>
      <c r="B9" s="159"/>
      <c r="C9" s="162" t="s">
        <v>13</v>
      </c>
      <c r="D9" s="162"/>
      <c r="E9" s="163"/>
      <c r="F9" s="20" t="s">
        <v>14</v>
      </c>
      <c r="G9" s="166" t="s">
        <v>15</v>
      </c>
      <c r="H9" s="167"/>
      <c r="I9" s="21" t="s">
        <v>16</v>
      </c>
      <c r="J9" s="166" t="s">
        <v>17</v>
      </c>
      <c r="K9" s="167"/>
      <c r="L9" s="21" t="s">
        <v>16</v>
      </c>
      <c r="M9" s="166" t="s">
        <v>18</v>
      </c>
      <c r="N9" s="167"/>
      <c r="O9" s="22" t="s">
        <v>16</v>
      </c>
      <c r="P9" s="167" t="s">
        <v>19</v>
      </c>
      <c r="Q9" s="167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>
      <c r="A10" s="160"/>
      <c r="B10" s="161"/>
      <c r="C10" s="164"/>
      <c r="D10" s="164"/>
      <c r="E10" s="165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68"/>
      <c r="Q10" s="168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>
      <c r="A11" s="137">
        <v>101</v>
      </c>
      <c r="B11" s="138"/>
      <c r="C11" s="139" t="s">
        <v>83</v>
      </c>
      <c r="D11" s="139"/>
      <c r="E11" s="140"/>
      <c r="F11" s="41">
        <v>60</v>
      </c>
      <c r="G11" s="42">
        <v>16.3</v>
      </c>
      <c r="H11" s="43"/>
      <c r="I11" s="44" t="s">
        <v>67</v>
      </c>
      <c r="J11" s="42">
        <v>22.3</v>
      </c>
      <c r="K11" s="43"/>
      <c r="L11" s="44" t="s">
        <v>67</v>
      </c>
      <c r="M11" s="42">
        <v>23.1</v>
      </c>
      <c r="N11" s="43"/>
      <c r="O11" s="44" t="s">
        <v>67</v>
      </c>
      <c r="P11" s="45">
        <f>G11+J11+M11</f>
        <v>61.7</v>
      </c>
      <c r="Q11" s="105">
        <f>P11+'06'!Q11</f>
        <v>235.60000000000002</v>
      </c>
      <c r="R11" s="97">
        <f>H11+K11+N11</f>
        <v>0</v>
      </c>
      <c r="S11" s="9"/>
      <c r="T11" s="106"/>
      <c r="U11" s="9"/>
      <c r="V11" s="9"/>
      <c r="W11" s="9"/>
      <c r="X11" s="9"/>
      <c r="Y11" s="9"/>
      <c r="Z11" s="9"/>
    </row>
    <row r="12" spans="1:26" ht="14.1" customHeight="1">
      <c r="A12" s="135"/>
      <c r="B12" s="136"/>
      <c r="C12" s="141" t="s">
        <v>84</v>
      </c>
      <c r="D12" s="141"/>
      <c r="E12" s="142"/>
      <c r="F12" s="47">
        <v>30</v>
      </c>
      <c r="G12" s="48">
        <v>10.5</v>
      </c>
      <c r="H12" s="48"/>
      <c r="I12" s="49" t="s">
        <v>69</v>
      </c>
      <c r="J12" s="48">
        <v>11.1</v>
      </c>
      <c r="K12" s="48"/>
      <c r="L12" s="49" t="s">
        <v>69</v>
      </c>
      <c r="M12" s="48">
        <v>12.5</v>
      </c>
      <c r="N12" s="48"/>
      <c r="O12" s="49" t="s">
        <v>68</v>
      </c>
      <c r="P12" s="50">
        <f t="shared" ref="P12:P32" si="0">G12+J12+M12</f>
        <v>34.1</v>
      </c>
      <c r="Q12" s="50">
        <f>P12+'06'!Q12</f>
        <v>111.80000000000001</v>
      </c>
      <c r="R12" s="99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>
      <c r="A13" s="130"/>
      <c r="B13" s="131"/>
      <c r="C13" s="143" t="s">
        <v>85</v>
      </c>
      <c r="D13" s="143"/>
      <c r="E13" s="144"/>
      <c r="F13" s="52">
        <v>30</v>
      </c>
      <c r="G13" s="53">
        <v>9.9</v>
      </c>
      <c r="H13" s="53"/>
      <c r="I13" s="54" t="s">
        <v>70</v>
      </c>
      <c r="J13" s="53">
        <v>10.199999999999999</v>
      </c>
      <c r="K13" s="53"/>
      <c r="L13" s="54" t="s">
        <v>70</v>
      </c>
      <c r="M13" s="53">
        <v>7.4</v>
      </c>
      <c r="N13" s="53"/>
      <c r="O13" s="54" t="s">
        <v>70</v>
      </c>
      <c r="P13" s="55">
        <f t="shared" si="0"/>
        <v>27.5</v>
      </c>
      <c r="Q13" s="55">
        <f>P13+'06'!Q13</f>
        <v>84.3</v>
      </c>
      <c r="R13" s="99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>
      <c r="A14" s="128">
        <v>102</v>
      </c>
      <c r="B14" s="145"/>
      <c r="C14" s="148" t="s">
        <v>86</v>
      </c>
      <c r="D14" s="149"/>
      <c r="E14" s="150"/>
      <c r="F14" s="56">
        <v>40</v>
      </c>
      <c r="G14" s="57">
        <v>4.7729999999999997</v>
      </c>
      <c r="H14" s="58"/>
      <c r="I14" s="59" t="s">
        <v>62</v>
      </c>
      <c r="J14" s="60"/>
      <c r="K14" s="58"/>
      <c r="L14" s="59"/>
      <c r="M14" s="60"/>
      <c r="N14" s="58"/>
      <c r="O14" s="59"/>
      <c r="P14" s="61">
        <f t="shared" si="0"/>
        <v>4.7729999999999997</v>
      </c>
      <c r="Q14" s="61">
        <f>P14+'06'!Q14</f>
        <v>158.89400000000001</v>
      </c>
      <c r="R14" s="102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>
      <c r="A15" s="146"/>
      <c r="B15" s="147"/>
      <c r="C15" s="151" t="s">
        <v>87</v>
      </c>
      <c r="D15" s="152"/>
      <c r="E15" s="153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50">
        <f t="shared" si="0"/>
        <v>0</v>
      </c>
      <c r="Q15" s="50">
        <f>P15+'06'!Q15</f>
        <v>0</v>
      </c>
      <c r="R15" s="97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>
      <c r="A16" s="146"/>
      <c r="B16" s="147"/>
      <c r="C16" s="154" t="s">
        <v>88</v>
      </c>
      <c r="D16" s="155"/>
      <c r="E16" s="156"/>
      <c r="F16" s="47">
        <f>F14*(2/100)</f>
        <v>0.8</v>
      </c>
      <c r="G16" s="48">
        <v>0.57340000000000002</v>
      </c>
      <c r="H16" s="48"/>
      <c r="I16" s="49">
        <v>100</v>
      </c>
      <c r="J16" s="48"/>
      <c r="K16" s="48"/>
      <c r="L16" s="49"/>
      <c r="M16" s="48"/>
      <c r="N16" s="48"/>
      <c r="O16" s="49"/>
      <c r="P16" s="50">
        <f t="shared" si="0"/>
        <v>0.57340000000000002</v>
      </c>
      <c r="Q16" s="50">
        <f>P16+'06'!Q16</f>
        <v>12.878699999999998</v>
      </c>
      <c r="R16" s="99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>
      <c r="A17" s="146"/>
      <c r="B17" s="147"/>
      <c r="C17" s="122" t="s">
        <v>89</v>
      </c>
      <c r="D17" s="123"/>
      <c r="E17" s="124"/>
      <c r="F17" s="47">
        <f>F14*12/100</f>
        <v>4.8</v>
      </c>
      <c r="G17" s="48"/>
      <c r="H17" s="48"/>
      <c r="I17" s="49"/>
      <c r="J17" s="48"/>
      <c r="K17" s="48"/>
      <c r="L17" s="49"/>
      <c r="M17" s="48"/>
      <c r="N17" s="48"/>
      <c r="O17" s="49"/>
      <c r="P17" s="50">
        <f t="shared" si="0"/>
        <v>0</v>
      </c>
      <c r="Q17" s="50">
        <f>P17+'06'!Q17</f>
        <v>0.22700000000000001</v>
      </c>
      <c r="R17" s="99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>
      <c r="A18" s="146"/>
      <c r="B18" s="147"/>
      <c r="C18" s="122" t="s">
        <v>90</v>
      </c>
      <c r="D18" s="123"/>
      <c r="E18" s="124"/>
      <c r="F18" s="47" t="s">
        <v>35</v>
      </c>
      <c r="G18" s="48"/>
      <c r="H18" s="48"/>
      <c r="I18" s="49"/>
      <c r="J18" s="48"/>
      <c r="K18" s="48"/>
      <c r="L18" s="49"/>
      <c r="M18" s="48"/>
      <c r="N18" s="48"/>
      <c r="O18" s="49"/>
      <c r="P18" s="50">
        <f t="shared" si="0"/>
        <v>0</v>
      </c>
      <c r="Q18" s="50">
        <f>P18+'06'!Q18</f>
        <v>102.732</v>
      </c>
      <c r="R18" s="99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>
      <c r="A19" s="146"/>
      <c r="B19" s="147"/>
      <c r="C19" s="122" t="s">
        <v>91</v>
      </c>
      <c r="D19" s="123"/>
      <c r="E19" s="124"/>
      <c r="F19" s="47" t="s">
        <v>35</v>
      </c>
      <c r="G19" s="48">
        <v>4.2930000000000001</v>
      </c>
      <c r="H19" s="48"/>
      <c r="I19" s="49" t="s">
        <v>75</v>
      </c>
      <c r="J19" s="48"/>
      <c r="K19" s="48"/>
      <c r="L19" s="49"/>
      <c r="M19" s="48"/>
      <c r="N19" s="48"/>
      <c r="O19" s="49"/>
      <c r="P19" s="50">
        <f t="shared" si="0"/>
        <v>4.2930000000000001</v>
      </c>
      <c r="Q19" s="50">
        <f>P19+'06'!Q19</f>
        <v>34.469000000000001</v>
      </c>
      <c r="R19" s="99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>
      <c r="A20" s="146"/>
      <c r="B20" s="147"/>
      <c r="C20" s="122" t="s">
        <v>92</v>
      </c>
      <c r="D20" s="123"/>
      <c r="E20" s="124"/>
      <c r="F20" s="63" t="s">
        <v>35</v>
      </c>
      <c r="G20" s="48"/>
      <c r="H20" s="48"/>
      <c r="I20" s="49"/>
      <c r="J20" s="48"/>
      <c r="K20" s="48"/>
      <c r="L20" s="49"/>
      <c r="M20" s="48"/>
      <c r="N20" s="48"/>
      <c r="O20" s="49"/>
      <c r="P20" s="50">
        <f t="shared" si="0"/>
        <v>0</v>
      </c>
      <c r="Q20" s="50">
        <f>P20+'06'!Q20</f>
        <v>0.80600000000000005</v>
      </c>
      <c r="R20" s="99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>
      <c r="A21" s="130"/>
      <c r="B21" s="131"/>
      <c r="C21" s="132" t="s">
        <v>93</v>
      </c>
      <c r="D21" s="133"/>
      <c r="E21" s="134"/>
      <c r="F21" s="52">
        <f>F14*(0.5/100)</f>
        <v>0.2</v>
      </c>
      <c r="G21" s="53">
        <v>0.68100000000000005</v>
      </c>
      <c r="H21" s="53"/>
      <c r="I21" s="54" t="s">
        <v>66</v>
      </c>
      <c r="J21" s="53"/>
      <c r="K21" s="53"/>
      <c r="L21" s="54"/>
      <c r="M21" s="53"/>
      <c r="N21" s="53"/>
      <c r="O21" s="54"/>
      <c r="P21" s="55">
        <f t="shared" si="0"/>
        <v>0.68100000000000005</v>
      </c>
      <c r="Q21" s="55">
        <f>P21+'06'!Q21</f>
        <v>7.8379000000000003</v>
      </c>
      <c r="R21" s="99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>
      <c r="A22" s="128" t="s">
        <v>105</v>
      </c>
      <c r="B22" s="129"/>
      <c r="C22" s="119" t="s">
        <v>94</v>
      </c>
      <c r="D22" s="120"/>
      <c r="E22" s="121"/>
      <c r="F22" s="56">
        <v>24</v>
      </c>
      <c r="G22" s="60"/>
      <c r="H22" s="58"/>
      <c r="I22" s="65"/>
      <c r="J22" s="60"/>
      <c r="K22" s="58"/>
      <c r="L22" s="65"/>
      <c r="M22" s="60"/>
      <c r="N22" s="58"/>
      <c r="O22" s="65"/>
      <c r="P22" s="61">
        <f t="shared" si="0"/>
        <v>0</v>
      </c>
      <c r="Q22" s="61">
        <f>P22+'06'!Q22</f>
        <v>79.344999999999999</v>
      </c>
      <c r="R22" s="102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>
      <c r="A23" s="130"/>
      <c r="B23" s="131"/>
      <c r="C23" s="132" t="s">
        <v>95</v>
      </c>
      <c r="D23" s="133"/>
      <c r="E23" s="134"/>
      <c r="F23" s="52">
        <v>24</v>
      </c>
      <c r="G23" s="53"/>
      <c r="H23" s="53"/>
      <c r="I23" s="66"/>
      <c r="J23" s="53"/>
      <c r="K23" s="53"/>
      <c r="L23" s="66"/>
      <c r="M23" s="53"/>
      <c r="N23" s="53"/>
      <c r="O23" s="66"/>
      <c r="P23" s="55">
        <f t="shared" si="0"/>
        <v>0</v>
      </c>
      <c r="Q23" s="55">
        <f>P23+'06'!Q23</f>
        <v>81.665000000000006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>
      <c r="A24" s="128" t="s">
        <v>106</v>
      </c>
      <c r="B24" s="129"/>
      <c r="C24" s="119" t="s">
        <v>96</v>
      </c>
      <c r="D24" s="120"/>
      <c r="E24" s="121"/>
      <c r="F24" s="56">
        <v>24</v>
      </c>
      <c r="G24" s="60">
        <v>0</v>
      </c>
      <c r="H24" s="58"/>
      <c r="I24" s="59" t="s">
        <v>53</v>
      </c>
      <c r="J24" s="60">
        <v>0.996</v>
      </c>
      <c r="K24" s="58"/>
      <c r="L24" s="59" t="s">
        <v>53</v>
      </c>
      <c r="M24" s="60">
        <v>7.3929999999999998</v>
      </c>
      <c r="N24" s="58"/>
      <c r="O24" s="59" t="s">
        <v>53</v>
      </c>
      <c r="P24" s="61">
        <f t="shared" si="0"/>
        <v>8.3889999999999993</v>
      </c>
      <c r="Q24" s="61">
        <f>P24+'06'!Q24</f>
        <v>113.86799999999999</v>
      </c>
      <c r="R24" s="97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>
      <c r="A25" s="135"/>
      <c r="B25" s="136"/>
      <c r="C25" s="122" t="s">
        <v>46</v>
      </c>
      <c r="D25" s="123"/>
      <c r="E25" s="124"/>
      <c r="F25" s="47" t="s">
        <v>35</v>
      </c>
      <c r="G25" s="48">
        <v>0</v>
      </c>
      <c r="H25" s="48"/>
      <c r="I25" s="49" t="s">
        <v>47</v>
      </c>
      <c r="J25" s="48">
        <v>0.74</v>
      </c>
      <c r="K25" s="48"/>
      <c r="L25" s="49" t="s">
        <v>47</v>
      </c>
      <c r="M25" s="48">
        <v>0.52490000000000003</v>
      </c>
      <c r="N25" s="48"/>
      <c r="O25" s="49" t="s">
        <v>47</v>
      </c>
      <c r="P25" s="50">
        <f t="shared" si="0"/>
        <v>1.2648999999999999</v>
      </c>
      <c r="Q25" s="50">
        <f>P25+'06'!Q25</f>
        <v>3.1036999999999999</v>
      </c>
      <c r="R25" s="99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>
      <c r="A26" s="135"/>
      <c r="B26" s="136"/>
      <c r="C26" s="122" t="s">
        <v>97</v>
      </c>
      <c r="D26" s="123"/>
      <c r="E26" s="124"/>
      <c r="F26" s="47" t="s">
        <v>35</v>
      </c>
      <c r="G26" s="48">
        <v>0</v>
      </c>
      <c r="H26" s="48"/>
      <c r="I26" s="49" t="s">
        <v>47</v>
      </c>
      <c r="J26" s="48">
        <v>0.86499999999999999</v>
      </c>
      <c r="K26" s="48"/>
      <c r="L26" s="49" t="s">
        <v>47</v>
      </c>
      <c r="M26" s="48">
        <v>6.077</v>
      </c>
      <c r="N26" s="48"/>
      <c r="O26" s="49" t="s">
        <v>47</v>
      </c>
      <c r="P26" s="50">
        <f t="shared" si="0"/>
        <v>6.9420000000000002</v>
      </c>
      <c r="Q26" s="50">
        <f>P26+'06'!Q26</f>
        <v>106.977</v>
      </c>
      <c r="R26" s="99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>
      <c r="A27" s="135"/>
      <c r="B27" s="136"/>
      <c r="C27" s="122" t="s">
        <v>98</v>
      </c>
      <c r="D27" s="123"/>
      <c r="E27" s="124"/>
      <c r="F27" s="47" t="s">
        <v>35</v>
      </c>
      <c r="G27" s="48"/>
      <c r="H27" s="48"/>
      <c r="I27" s="49"/>
      <c r="J27" s="48"/>
      <c r="K27" s="48"/>
      <c r="L27" s="49"/>
      <c r="M27" s="48"/>
      <c r="N27" s="48"/>
      <c r="O27" s="49"/>
      <c r="P27" s="50">
        <f t="shared" si="0"/>
        <v>0</v>
      </c>
      <c r="Q27" s="50">
        <f>P27+'06'!Q27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>
      <c r="A28" s="130"/>
      <c r="B28" s="131"/>
      <c r="C28" s="132" t="s">
        <v>99</v>
      </c>
      <c r="D28" s="133"/>
      <c r="E28" s="134"/>
      <c r="F28" s="52" t="s">
        <v>35</v>
      </c>
      <c r="G28" s="53">
        <v>0</v>
      </c>
      <c r="H28" s="53"/>
      <c r="I28" s="54" t="s">
        <v>66</v>
      </c>
      <c r="J28" s="53">
        <v>0.121</v>
      </c>
      <c r="K28" s="53"/>
      <c r="L28" s="54" t="s">
        <v>66</v>
      </c>
      <c r="M28" s="53">
        <v>0.85780000000000001</v>
      </c>
      <c r="N28" s="53"/>
      <c r="O28" s="54" t="s">
        <v>66</v>
      </c>
      <c r="P28" s="55">
        <f t="shared" si="0"/>
        <v>0.9788</v>
      </c>
      <c r="Q28" s="55">
        <f>P28+'06'!Q28</f>
        <v>4.6074000000000002</v>
      </c>
      <c r="R28" s="97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>
      <c r="A29" s="113">
        <v>104</v>
      </c>
      <c r="B29" s="114"/>
      <c r="C29" s="119" t="s">
        <v>100</v>
      </c>
      <c r="D29" s="120"/>
      <c r="E29" s="121"/>
      <c r="F29" s="56"/>
      <c r="G29" s="60">
        <v>12.413</v>
      </c>
      <c r="H29" s="58"/>
      <c r="I29" s="59" t="s">
        <v>55</v>
      </c>
      <c r="J29" s="60"/>
      <c r="K29" s="58"/>
      <c r="L29" s="59"/>
      <c r="M29" s="60"/>
      <c r="N29" s="58"/>
      <c r="O29" s="59"/>
      <c r="P29" s="61">
        <f t="shared" si="0"/>
        <v>12.413</v>
      </c>
      <c r="Q29" s="61">
        <f>P29+'06'!Q29</f>
        <v>61.811000000000007</v>
      </c>
      <c r="R29" s="102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>
      <c r="A30" s="115"/>
      <c r="B30" s="116"/>
      <c r="C30" s="122" t="s">
        <v>102</v>
      </c>
      <c r="D30" s="123"/>
      <c r="E30" s="124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50">
        <f t="shared" si="0"/>
        <v>0</v>
      </c>
      <c r="Q30" s="50">
        <f>P30+'06'!Q30</f>
        <v>0</v>
      </c>
      <c r="R30" s="99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>
      <c r="A31" s="115"/>
      <c r="B31" s="116"/>
      <c r="C31" s="122" t="s">
        <v>101</v>
      </c>
      <c r="D31" s="123"/>
      <c r="E31" s="124"/>
      <c r="F31" s="47"/>
      <c r="G31" s="48">
        <v>2.468</v>
      </c>
      <c r="H31" s="48"/>
      <c r="I31" s="49" t="s">
        <v>58</v>
      </c>
      <c r="J31" s="48"/>
      <c r="K31" s="48"/>
      <c r="L31" s="49"/>
      <c r="M31" s="48"/>
      <c r="N31" s="48"/>
      <c r="O31" s="49"/>
      <c r="P31" s="50">
        <f t="shared" si="0"/>
        <v>2.468</v>
      </c>
      <c r="Q31" s="50">
        <f>P31+'06'!Q31</f>
        <v>12.337</v>
      </c>
      <c r="R31" s="99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>
      <c r="A32" s="115"/>
      <c r="B32" s="116"/>
      <c r="C32" s="122" t="s">
        <v>103</v>
      </c>
      <c r="D32" s="123"/>
      <c r="E32" s="124"/>
      <c r="F32" s="47"/>
      <c r="G32" s="48"/>
      <c r="H32" s="48"/>
      <c r="I32" s="49"/>
      <c r="J32" s="48"/>
      <c r="K32" s="48"/>
      <c r="L32" s="49"/>
      <c r="M32" s="49">
        <v>1.3320000000000001</v>
      </c>
      <c r="N32" s="48"/>
      <c r="O32" s="49" t="s">
        <v>76</v>
      </c>
      <c r="P32" s="50">
        <f t="shared" si="0"/>
        <v>1.3320000000000001</v>
      </c>
      <c r="Q32" s="50">
        <f>P32+'06'!Q32</f>
        <v>63.083000000000006</v>
      </c>
      <c r="R32" s="99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>
      <c r="A33" s="117"/>
      <c r="B33" s="118"/>
      <c r="C33" s="125" t="s">
        <v>104</v>
      </c>
      <c r="D33" s="126"/>
      <c r="E33" s="127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72">
        <f>G33+J33+M33</f>
        <v>0</v>
      </c>
      <c r="Q33" s="72">
        <f>P33+'06'!Q33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/>
    <row r="35" spans="1:26" ht="14.1" customHeight="1"/>
    <row r="36" spans="1:26" ht="14.1" customHeight="1"/>
    <row r="37" spans="1:26" ht="14.1" customHeight="1"/>
    <row r="38" spans="1:26" ht="14.1" customHeight="1"/>
    <row r="39" spans="1:26" ht="14.1" customHeight="1"/>
    <row r="40" spans="1:26" ht="14.1" customHeight="1"/>
    <row r="41" spans="1:26" ht="14.1" customHeight="1"/>
    <row r="42" spans="1:26" ht="14.1" customHeight="1"/>
    <row r="43" spans="1:26" ht="14.1" customHeight="1"/>
    <row r="44" spans="1:26" ht="14.1" customHeight="1"/>
    <row r="45" spans="1:26" ht="14.1" customHeight="1"/>
    <row r="46" spans="1:26" ht="14.1" customHeight="1"/>
    <row r="47" spans="1:26" ht="14.1" customHeight="1"/>
    <row r="48" spans="1:26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  <row r="58" ht="14.1" customHeight="1"/>
    <row r="59" ht="14.1" customHeight="1"/>
    <row r="60" ht="14.1" customHeight="1"/>
    <row r="61" ht="14.1" customHeight="1"/>
    <row r="62" ht="14.1" customHeight="1"/>
    <row r="63" ht="14.1" customHeight="1"/>
    <row r="64" ht="14.1" customHeight="1"/>
    <row r="65" ht="14.1" customHeight="1"/>
    <row r="66" ht="14.1" customHeight="1"/>
    <row r="67" ht="14.1" customHeight="1"/>
    <row r="68" ht="15" customHeight="1"/>
    <row r="69" ht="12.95" customHeight="1"/>
    <row r="70" ht="14.1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4.1" customHeight="1"/>
    <row r="122" ht="14.1" customHeight="1"/>
    <row r="123" ht="14.1" customHeight="1"/>
    <row r="124" ht="14.1" customHeight="1"/>
    <row r="125" ht="14.1" customHeight="1"/>
    <row r="126" ht="10.5" customHeight="1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AB9EDA54-90BB-48DD-8D07-A20E9A6DA9EA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7C9B6-2D0D-446F-8F28-C2620FFE3827}">
  <sheetPr codeName="Sheet11"/>
  <dimension ref="A1:Z126"/>
  <sheetViews>
    <sheetView showGridLines="0" zoomScale="85" zoomScaleNormal="85" zoomScaleSheetLayoutView="113" workbookViewId="0">
      <selection activeCell="A11" sqref="A11:E33"/>
    </sheetView>
  </sheetViews>
  <sheetFormatPr defaultColWidth="10.140625" defaultRowHeight="1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7.8554687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6" width="8.42578125" customWidth="1"/>
    <col min="17" max="17" width="9" customWidth="1"/>
    <col min="18" max="18" width="8.42578125" customWidth="1"/>
    <col min="27" max="16384" width="10.140625" style="9"/>
  </cols>
  <sheetData>
    <row r="1" spans="1:26" ht="15" customHeight="1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>
      <c r="A2" s="10"/>
      <c r="B2" s="10"/>
      <c r="C2" s="10"/>
      <c r="D2" s="10"/>
      <c r="E2" s="10"/>
      <c r="F2" s="10"/>
      <c r="G2" s="173"/>
      <c r="H2" s="173"/>
      <c r="I2" s="173"/>
      <c r="J2" s="173"/>
      <c r="K2" s="173"/>
      <c r="L2" s="173"/>
      <c r="M2" s="10"/>
      <c r="N2" s="11"/>
      <c r="O2" s="174"/>
      <c r="P2" s="174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>
      <c r="A3" s="10"/>
      <c r="B3" s="10"/>
      <c r="C3" s="10"/>
      <c r="D3" s="10"/>
      <c r="E3" s="10"/>
      <c r="F3" s="10"/>
      <c r="G3" s="173"/>
      <c r="H3" s="173"/>
      <c r="I3" s="173"/>
      <c r="J3" s="173"/>
      <c r="K3" s="173"/>
      <c r="L3" s="173"/>
      <c r="M3" s="10"/>
      <c r="N3" s="11"/>
      <c r="O3" s="174"/>
      <c r="P3" s="174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>
      <c r="A4" s="10"/>
      <c r="B4" s="10"/>
      <c r="C4" s="10"/>
      <c r="D4" s="10"/>
      <c r="E4" s="10"/>
      <c r="F4" s="10"/>
      <c r="G4" s="173"/>
      <c r="H4" s="173"/>
      <c r="I4" s="173"/>
      <c r="J4" s="173"/>
      <c r="K4" s="173"/>
      <c r="L4" s="173"/>
      <c r="M4" s="10"/>
      <c r="N4" s="11"/>
      <c r="O4" s="174"/>
      <c r="P4" s="174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>
      <c r="A5" s="169" t="s">
        <v>8</v>
      </c>
      <c r="B5" s="169"/>
      <c r="C5" s="16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>
      <c r="A6" s="169" t="s">
        <v>10</v>
      </c>
      <c r="B6" s="169"/>
      <c r="C6" s="169"/>
      <c r="D6" s="179">
        <f>'07'!D6+1</f>
        <v>46061</v>
      </c>
      <c r="E6" s="179"/>
      <c r="F6" s="28"/>
      <c r="G6" s="171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>
      <c r="A8" s="175" t="s">
        <v>11</v>
      </c>
      <c r="B8" s="175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9"/>
      <c r="T8" s="9"/>
      <c r="U8" s="9"/>
      <c r="V8" s="9"/>
      <c r="W8" s="9"/>
      <c r="X8" s="9"/>
      <c r="Y8" s="9"/>
      <c r="Z8" s="9"/>
    </row>
    <row r="9" spans="1:26" ht="24.95" customHeight="1">
      <c r="A9" s="158" t="s">
        <v>12</v>
      </c>
      <c r="B9" s="159"/>
      <c r="C9" s="162" t="s">
        <v>13</v>
      </c>
      <c r="D9" s="162"/>
      <c r="E9" s="163"/>
      <c r="F9" s="20" t="s">
        <v>14</v>
      </c>
      <c r="G9" s="166" t="s">
        <v>15</v>
      </c>
      <c r="H9" s="167"/>
      <c r="I9" s="21" t="s">
        <v>16</v>
      </c>
      <c r="J9" s="166" t="s">
        <v>17</v>
      </c>
      <c r="K9" s="167"/>
      <c r="L9" s="21" t="s">
        <v>16</v>
      </c>
      <c r="M9" s="166" t="s">
        <v>18</v>
      </c>
      <c r="N9" s="167"/>
      <c r="O9" s="22" t="s">
        <v>16</v>
      </c>
      <c r="P9" s="167" t="s">
        <v>19</v>
      </c>
      <c r="Q9" s="167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>
      <c r="A10" s="160"/>
      <c r="B10" s="161"/>
      <c r="C10" s="164"/>
      <c r="D10" s="164"/>
      <c r="E10" s="165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68"/>
      <c r="Q10" s="168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>
      <c r="A11" s="137">
        <v>101</v>
      </c>
      <c r="B11" s="138"/>
      <c r="C11" s="139" t="s">
        <v>83</v>
      </c>
      <c r="D11" s="139"/>
      <c r="E11" s="140"/>
      <c r="F11" s="41">
        <v>60</v>
      </c>
      <c r="G11" s="42">
        <v>15.2</v>
      </c>
      <c r="H11" s="43"/>
      <c r="I11" s="44" t="s">
        <v>67</v>
      </c>
      <c r="J11" s="42">
        <v>23.1</v>
      </c>
      <c r="K11" s="43"/>
      <c r="L11" s="44" t="s">
        <v>67</v>
      </c>
      <c r="M11" s="42">
        <v>22.1</v>
      </c>
      <c r="N11" s="43"/>
      <c r="O11" s="44" t="s">
        <v>67</v>
      </c>
      <c r="P11" s="45">
        <f>G11+J11+M11</f>
        <v>60.4</v>
      </c>
      <c r="Q11" s="105">
        <f>P11+'07'!Q11</f>
        <v>296</v>
      </c>
      <c r="R11" s="97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>
      <c r="A12" s="135"/>
      <c r="B12" s="136"/>
      <c r="C12" s="141" t="s">
        <v>84</v>
      </c>
      <c r="D12" s="141"/>
      <c r="E12" s="142"/>
      <c r="F12" s="47">
        <v>30</v>
      </c>
      <c r="G12" s="48">
        <v>8.8000000000000007</v>
      </c>
      <c r="H12" s="48"/>
      <c r="I12" s="49" t="s">
        <v>68</v>
      </c>
      <c r="J12" s="48">
        <v>10.8</v>
      </c>
      <c r="K12" s="48"/>
      <c r="L12" s="49" t="s">
        <v>69</v>
      </c>
      <c r="M12" s="48">
        <v>14.6</v>
      </c>
      <c r="N12" s="48"/>
      <c r="O12" s="49" t="s">
        <v>69</v>
      </c>
      <c r="P12" s="50">
        <f t="shared" ref="P12:P32" si="0">G12+J12+M12</f>
        <v>34.200000000000003</v>
      </c>
      <c r="Q12" s="50">
        <f>P12+'07'!Q12</f>
        <v>146</v>
      </c>
      <c r="R12" s="99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>
      <c r="A13" s="130"/>
      <c r="B13" s="131"/>
      <c r="C13" s="143" t="s">
        <v>85</v>
      </c>
      <c r="D13" s="143"/>
      <c r="E13" s="144"/>
      <c r="F13" s="52">
        <v>30</v>
      </c>
      <c r="G13" s="53">
        <v>8.9</v>
      </c>
      <c r="H13" s="53"/>
      <c r="I13" s="54" t="s">
        <v>70</v>
      </c>
      <c r="J13" s="53">
        <v>8.6999999999999993</v>
      </c>
      <c r="K13" s="53"/>
      <c r="L13" s="54" t="s">
        <v>70</v>
      </c>
      <c r="M13" s="53">
        <v>10.1</v>
      </c>
      <c r="N13" s="53"/>
      <c r="O13" s="54" t="s">
        <v>70</v>
      </c>
      <c r="P13" s="55">
        <f t="shared" si="0"/>
        <v>27.700000000000003</v>
      </c>
      <c r="Q13" s="55">
        <f>P13+'07'!Q13</f>
        <v>112</v>
      </c>
      <c r="R13" s="99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>
      <c r="A14" s="128">
        <v>102</v>
      </c>
      <c r="B14" s="145"/>
      <c r="C14" s="148" t="s">
        <v>86</v>
      </c>
      <c r="D14" s="149"/>
      <c r="E14" s="150"/>
      <c r="F14" s="56">
        <v>40</v>
      </c>
      <c r="G14" s="57"/>
      <c r="H14" s="58"/>
      <c r="I14" s="59"/>
      <c r="J14" s="60"/>
      <c r="K14" s="58"/>
      <c r="L14" s="59"/>
      <c r="M14" s="60"/>
      <c r="N14" s="58"/>
      <c r="O14" s="59"/>
      <c r="P14" s="61">
        <f t="shared" si="0"/>
        <v>0</v>
      </c>
      <c r="Q14" s="61">
        <f>P14+'07'!Q14</f>
        <v>158.89400000000001</v>
      </c>
      <c r="R14" s="102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>
      <c r="A15" s="146"/>
      <c r="B15" s="147"/>
      <c r="C15" s="151" t="s">
        <v>87</v>
      </c>
      <c r="D15" s="152"/>
      <c r="E15" s="153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50">
        <f t="shared" si="0"/>
        <v>0</v>
      </c>
      <c r="Q15" s="50">
        <f>P15+'07'!Q15</f>
        <v>0</v>
      </c>
      <c r="R15" s="97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>
      <c r="A16" s="146"/>
      <c r="B16" s="147"/>
      <c r="C16" s="154" t="s">
        <v>88</v>
      </c>
      <c r="D16" s="155"/>
      <c r="E16" s="156"/>
      <c r="F16" s="47">
        <f>F14*(2/100)</f>
        <v>0.8</v>
      </c>
      <c r="G16" s="48"/>
      <c r="H16" s="48"/>
      <c r="I16" s="49"/>
      <c r="J16" s="48"/>
      <c r="K16" s="48"/>
      <c r="L16" s="49"/>
      <c r="M16" s="48"/>
      <c r="N16" s="48"/>
      <c r="O16" s="49"/>
      <c r="P16" s="50">
        <f t="shared" si="0"/>
        <v>0</v>
      </c>
      <c r="Q16" s="50">
        <f>P16+'07'!Q16</f>
        <v>12.878699999999998</v>
      </c>
      <c r="R16" s="99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>
      <c r="A17" s="146"/>
      <c r="B17" s="147"/>
      <c r="C17" s="122" t="s">
        <v>89</v>
      </c>
      <c r="D17" s="123"/>
      <c r="E17" s="124"/>
      <c r="F17" s="47">
        <f>F14*12/100</f>
        <v>4.8</v>
      </c>
      <c r="G17" s="48"/>
      <c r="H17" s="48"/>
      <c r="I17" s="49"/>
      <c r="J17" s="48"/>
      <c r="K17" s="48"/>
      <c r="L17" s="49"/>
      <c r="M17" s="48"/>
      <c r="N17" s="48"/>
      <c r="O17" s="49"/>
      <c r="P17" s="50">
        <f t="shared" si="0"/>
        <v>0</v>
      </c>
      <c r="Q17" s="50">
        <f>P17+'07'!Q17</f>
        <v>0.22700000000000001</v>
      </c>
      <c r="R17" s="99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>
      <c r="A18" s="146"/>
      <c r="B18" s="147"/>
      <c r="C18" s="122" t="s">
        <v>90</v>
      </c>
      <c r="D18" s="123"/>
      <c r="E18" s="124"/>
      <c r="F18" s="47" t="s">
        <v>35</v>
      </c>
      <c r="G18" s="48"/>
      <c r="H18" s="48"/>
      <c r="I18" s="49"/>
      <c r="J18" s="48"/>
      <c r="K18" s="48"/>
      <c r="L18" s="49"/>
      <c r="M18" s="48"/>
      <c r="N18" s="48"/>
      <c r="O18" s="49"/>
      <c r="P18" s="50">
        <f t="shared" si="0"/>
        <v>0</v>
      </c>
      <c r="Q18" s="50">
        <f>P18+'07'!Q18</f>
        <v>102.732</v>
      </c>
      <c r="R18" s="99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>
      <c r="A19" s="146"/>
      <c r="B19" s="147"/>
      <c r="C19" s="122" t="s">
        <v>91</v>
      </c>
      <c r="D19" s="123"/>
      <c r="E19" s="124"/>
      <c r="F19" s="47" t="s">
        <v>35</v>
      </c>
      <c r="G19" s="48"/>
      <c r="H19" s="48"/>
      <c r="I19" s="49"/>
      <c r="J19" s="48"/>
      <c r="K19" s="48"/>
      <c r="L19" s="49"/>
      <c r="M19" s="48"/>
      <c r="N19" s="48"/>
      <c r="O19" s="49"/>
      <c r="P19" s="50">
        <f t="shared" si="0"/>
        <v>0</v>
      </c>
      <c r="Q19" s="50">
        <f>P19+'07'!Q19</f>
        <v>34.469000000000001</v>
      </c>
      <c r="R19" s="99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>
      <c r="A20" s="146"/>
      <c r="B20" s="147"/>
      <c r="C20" s="122" t="s">
        <v>92</v>
      </c>
      <c r="D20" s="123"/>
      <c r="E20" s="124"/>
      <c r="F20" s="63" t="s">
        <v>35</v>
      </c>
      <c r="G20" s="48"/>
      <c r="H20" s="48"/>
      <c r="I20" s="49"/>
      <c r="J20" s="48"/>
      <c r="K20" s="48"/>
      <c r="L20" s="49"/>
      <c r="M20" s="48"/>
      <c r="N20" s="48"/>
      <c r="O20" s="49"/>
      <c r="P20" s="50">
        <f t="shared" si="0"/>
        <v>0</v>
      </c>
      <c r="Q20" s="50">
        <f>P20+'07'!Q20</f>
        <v>0.80600000000000005</v>
      </c>
      <c r="R20" s="99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>
      <c r="A21" s="130"/>
      <c r="B21" s="131"/>
      <c r="C21" s="132" t="s">
        <v>93</v>
      </c>
      <c r="D21" s="133"/>
      <c r="E21" s="134"/>
      <c r="F21" s="52">
        <f>F14*(0.5/100)</f>
        <v>0.2</v>
      </c>
      <c r="G21" s="53"/>
      <c r="H21" s="53"/>
      <c r="I21" s="54"/>
      <c r="J21" s="53"/>
      <c r="K21" s="53"/>
      <c r="L21" s="54"/>
      <c r="M21" s="53"/>
      <c r="N21" s="53"/>
      <c r="O21" s="54"/>
      <c r="P21" s="55">
        <f t="shared" si="0"/>
        <v>0</v>
      </c>
      <c r="Q21" s="55">
        <f>P21+'07'!Q21</f>
        <v>7.8379000000000003</v>
      </c>
      <c r="R21" s="99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>
      <c r="A22" s="128" t="s">
        <v>105</v>
      </c>
      <c r="B22" s="129"/>
      <c r="C22" s="119" t="s">
        <v>94</v>
      </c>
      <c r="D22" s="120"/>
      <c r="E22" s="121"/>
      <c r="F22" s="56">
        <v>24</v>
      </c>
      <c r="G22" s="60"/>
      <c r="H22" s="58"/>
      <c r="I22" s="65"/>
      <c r="J22" s="60"/>
      <c r="K22" s="58"/>
      <c r="L22" s="65"/>
      <c r="M22" s="60"/>
      <c r="N22" s="58"/>
      <c r="O22" s="65"/>
      <c r="P22" s="61">
        <f t="shared" si="0"/>
        <v>0</v>
      </c>
      <c r="Q22" s="61">
        <f>P22+'07'!Q22</f>
        <v>79.344999999999999</v>
      </c>
      <c r="R22" s="102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>
      <c r="A23" s="130"/>
      <c r="B23" s="131"/>
      <c r="C23" s="132" t="s">
        <v>95</v>
      </c>
      <c r="D23" s="133"/>
      <c r="E23" s="134"/>
      <c r="F23" s="52">
        <v>24</v>
      </c>
      <c r="G23" s="53"/>
      <c r="H23" s="53"/>
      <c r="I23" s="66"/>
      <c r="J23" s="53"/>
      <c r="K23" s="53"/>
      <c r="L23" s="66"/>
      <c r="M23" s="53"/>
      <c r="N23" s="53"/>
      <c r="O23" s="66"/>
      <c r="P23" s="55">
        <f t="shared" si="0"/>
        <v>0</v>
      </c>
      <c r="Q23" s="55">
        <f>P23+'07'!Q23</f>
        <v>81.665000000000006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>
      <c r="A24" s="128" t="s">
        <v>106</v>
      </c>
      <c r="B24" s="129"/>
      <c r="C24" s="119" t="s">
        <v>96</v>
      </c>
      <c r="D24" s="120"/>
      <c r="E24" s="121"/>
      <c r="F24" s="56">
        <v>24</v>
      </c>
      <c r="G24" s="60">
        <v>5.3159999999999998</v>
      </c>
      <c r="H24" s="58"/>
      <c r="I24" s="59" t="s">
        <v>53</v>
      </c>
      <c r="J24" s="60">
        <v>5.6849999999999996</v>
      </c>
      <c r="K24" s="58"/>
      <c r="L24" s="59" t="s">
        <v>77</v>
      </c>
      <c r="M24" s="60">
        <v>7.226</v>
      </c>
      <c r="N24" s="58"/>
      <c r="O24" s="59" t="s">
        <v>77</v>
      </c>
      <c r="P24" s="61">
        <f t="shared" si="0"/>
        <v>18.227</v>
      </c>
      <c r="Q24" s="61">
        <f>P24+'07'!Q24</f>
        <v>132.095</v>
      </c>
      <c r="R24" s="97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>
      <c r="A25" s="135"/>
      <c r="B25" s="136"/>
      <c r="C25" s="122" t="s">
        <v>46</v>
      </c>
      <c r="D25" s="123"/>
      <c r="E25" s="124"/>
      <c r="F25" s="47" t="s">
        <v>35</v>
      </c>
      <c r="G25" s="48">
        <v>0.39810000000000001</v>
      </c>
      <c r="H25" s="48"/>
      <c r="I25" s="49" t="s">
        <v>47</v>
      </c>
      <c r="J25" s="48">
        <v>0.215</v>
      </c>
      <c r="K25" s="48"/>
      <c r="L25" s="49" t="s">
        <v>47</v>
      </c>
      <c r="M25" s="48">
        <v>0.24679999999999999</v>
      </c>
      <c r="N25" s="48"/>
      <c r="O25" s="49" t="s">
        <v>47</v>
      </c>
      <c r="P25" s="50">
        <f t="shared" si="0"/>
        <v>0.8599</v>
      </c>
      <c r="Q25" s="50">
        <f>P25+'07'!Q25</f>
        <v>3.9636</v>
      </c>
      <c r="R25" s="99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>
      <c r="A26" s="135"/>
      <c r="B26" s="136"/>
      <c r="C26" s="122" t="s">
        <v>97</v>
      </c>
      <c r="D26" s="123"/>
      <c r="E26" s="124"/>
      <c r="F26" s="47" t="s">
        <v>35</v>
      </c>
      <c r="G26" s="48">
        <v>4.3630000000000004</v>
      </c>
      <c r="H26" s="48"/>
      <c r="I26" s="49" t="s">
        <v>47</v>
      </c>
      <c r="J26" s="48">
        <v>4.9619999999999997</v>
      </c>
      <c r="K26" s="48"/>
      <c r="L26" s="49" t="s">
        <v>47</v>
      </c>
      <c r="M26" s="48">
        <v>6.4279999999999999</v>
      </c>
      <c r="N26" s="48"/>
      <c r="O26" s="49" t="s">
        <v>47</v>
      </c>
      <c r="P26" s="50">
        <f t="shared" si="0"/>
        <v>15.753</v>
      </c>
      <c r="Q26" s="50">
        <f>P26+'07'!Q26</f>
        <v>122.73</v>
      </c>
      <c r="R26" s="99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>
      <c r="A27" s="135"/>
      <c r="B27" s="136"/>
      <c r="C27" s="122" t="s">
        <v>98</v>
      </c>
      <c r="D27" s="123"/>
      <c r="E27" s="124"/>
      <c r="F27" s="47" t="s">
        <v>35</v>
      </c>
      <c r="G27" s="48"/>
      <c r="H27" s="48"/>
      <c r="I27" s="49"/>
      <c r="J27" s="48"/>
      <c r="K27" s="48"/>
      <c r="L27" s="49"/>
      <c r="M27" s="48"/>
      <c r="N27" s="48"/>
      <c r="O27" s="49"/>
      <c r="P27" s="50">
        <f t="shared" si="0"/>
        <v>0</v>
      </c>
      <c r="Q27" s="50">
        <f>P27+'07'!Q27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>
      <c r="A28" s="130"/>
      <c r="B28" s="131"/>
      <c r="C28" s="132" t="s">
        <v>99</v>
      </c>
      <c r="D28" s="133"/>
      <c r="E28" s="134"/>
      <c r="F28" s="52" t="s">
        <v>35</v>
      </c>
      <c r="G28" s="53">
        <v>0.63670000000000004</v>
      </c>
      <c r="H28" s="53"/>
      <c r="I28" s="54" t="s">
        <v>66</v>
      </c>
      <c r="J28" s="53">
        <v>0.63500000000000001</v>
      </c>
      <c r="K28" s="53"/>
      <c r="L28" s="54" t="s">
        <v>66</v>
      </c>
      <c r="M28" s="53">
        <v>0.52749999999999997</v>
      </c>
      <c r="N28" s="53"/>
      <c r="O28" s="54" t="s">
        <v>66</v>
      </c>
      <c r="P28" s="55">
        <f t="shared" si="0"/>
        <v>1.7991999999999999</v>
      </c>
      <c r="Q28" s="55">
        <f>P28+'07'!Q28</f>
        <v>6.4066000000000001</v>
      </c>
      <c r="R28" s="97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>
      <c r="A29" s="113">
        <v>104</v>
      </c>
      <c r="B29" s="114"/>
      <c r="C29" s="119" t="s">
        <v>100</v>
      </c>
      <c r="D29" s="120"/>
      <c r="E29" s="121"/>
      <c r="F29" s="56"/>
      <c r="G29" s="60"/>
      <c r="H29" s="58"/>
      <c r="I29" s="59"/>
      <c r="J29" s="60">
        <v>12.584</v>
      </c>
      <c r="K29" s="58"/>
      <c r="L29" s="49" t="s">
        <v>55</v>
      </c>
      <c r="M29" s="60"/>
      <c r="N29" s="58"/>
      <c r="O29" s="59"/>
      <c r="P29" s="61">
        <f t="shared" si="0"/>
        <v>12.584</v>
      </c>
      <c r="Q29" s="61">
        <f>P29+'07'!Q29</f>
        <v>74.39500000000001</v>
      </c>
      <c r="R29" s="102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>
      <c r="A30" s="115"/>
      <c r="B30" s="116"/>
      <c r="C30" s="122" t="s">
        <v>102</v>
      </c>
      <c r="D30" s="123"/>
      <c r="E30" s="124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50">
        <f t="shared" si="0"/>
        <v>0</v>
      </c>
      <c r="Q30" s="50">
        <f>P30+'07'!Q30</f>
        <v>0</v>
      </c>
      <c r="R30" s="99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>
      <c r="A31" s="115"/>
      <c r="B31" s="116"/>
      <c r="C31" s="122" t="s">
        <v>101</v>
      </c>
      <c r="D31" s="123"/>
      <c r="E31" s="124"/>
      <c r="F31" s="47"/>
      <c r="G31" s="48"/>
      <c r="H31" s="48"/>
      <c r="I31" s="49"/>
      <c r="J31" s="48">
        <v>2.4630000000000001</v>
      </c>
      <c r="K31" s="48"/>
      <c r="L31" s="49" t="s">
        <v>58</v>
      </c>
      <c r="M31" s="48"/>
      <c r="N31" s="48"/>
      <c r="O31" s="49"/>
      <c r="P31" s="50">
        <f t="shared" si="0"/>
        <v>2.4630000000000001</v>
      </c>
      <c r="Q31" s="50">
        <f>P31+'07'!Q31</f>
        <v>14.8</v>
      </c>
      <c r="R31" s="99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>
      <c r="A32" s="115"/>
      <c r="B32" s="116"/>
      <c r="C32" s="122" t="s">
        <v>103</v>
      </c>
      <c r="D32" s="123"/>
      <c r="E32" s="124"/>
      <c r="F32" s="47"/>
      <c r="G32" s="48">
        <v>11.291</v>
      </c>
      <c r="H32" s="48"/>
      <c r="I32" s="49" t="s">
        <v>76</v>
      </c>
      <c r="J32" s="48"/>
      <c r="K32" s="48"/>
      <c r="L32" s="49"/>
      <c r="M32" s="49"/>
      <c r="N32" s="48"/>
      <c r="O32" s="49"/>
      <c r="P32" s="50">
        <f t="shared" si="0"/>
        <v>11.291</v>
      </c>
      <c r="Q32" s="50">
        <f>P32+'07'!Q32</f>
        <v>74.374000000000009</v>
      </c>
      <c r="R32" s="99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>
      <c r="A33" s="117"/>
      <c r="B33" s="118"/>
      <c r="C33" s="125" t="s">
        <v>104</v>
      </c>
      <c r="D33" s="126"/>
      <c r="E33" s="127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72">
        <f>G33+J33+M33</f>
        <v>0</v>
      </c>
      <c r="Q33" s="72">
        <f>P33+'07'!Q33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/>
    <row r="35" spans="1:26" ht="14.1" customHeight="1"/>
    <row r="36" spans="1:26" ht="14.1" customHeight="1"/>
    <row r="37" spans="1:26" ht="14.1" customHeight="1"/>
    <row r="38" spans="1:26" ht="14.1" customHeight="1"/>
    <row r="39" spans="1:26" ht="14.1" customHeight="1"/>
    <row r="40" spans="1:26" ht="14.1" customHeight="1"/>
    <row r="41" spans="1:26" ht="14.1" customHeight="1"/>
    <row r="42" spans="1:26" ht="14.1" customHeight="1"/>
    <row r="43" spans="1:26" ht="14.1" customHeight="1"/>
    <row r="44" spans="1:26" ht="14.1" customHeight="1"/>
    <row r="45" spans="1:26" ht="14.1" customHeight="1"/>
    <row r="46" spans="1:26" ht="14.1" customHeight="1"/>
    <row r="47" spans="1:26" ht="14.1" customHeight="1"/>
    <row r="48" spans="1:26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  <row r="58" ht="14.1" customHeight="1"/>
    <row r="59" ht="14.1" customHeight="1"/>
    <row r="60" ht="14.1" customHeight="1"/>
    <row r="61" ht="14.1" customHeight="1"/>
    <row r="62" ht="14.1" customHeight="1"/>
    <row r="63" ht="14.1" customHeight="1"/>
    <row r="64" ht="14.1" customHeight="1"/>
    <row r="65" ht="14.1" customHeight="1"/>
    <row r="66" ht="14.1" customHeight="1"/>
    <row r="67" ht="14.1" customHeight="1"/>
    <row r="68" ht="15" customHeight="1"/>
    <row r="69" ht="12.95" customHeight="1"/>
    <row r="70" ht="14.1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4.1" customHeight="1"/>
    <row r="122" ht="14.1" customHeight="1"/>
    <row r="123" ht="14.1" customHeight="1"/>
    <row r="124" ht="14.1" customHeight="1"/>
    <row r="125" ht="14.1" customHeight="1"/>
    <row r="126" ht="10.5" customHeight="1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5650D1E9-D962-4B94-816C-97EC3FE7F62D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228600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228600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228600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0A22-11BE-4493-90AB-3A2F8AC21E80}">
  <sheetPr codeName="Sheet12"/>
  <dimension ref="A1:Z126"/>
  <sheetViews>
    <sheetView showGridLines="0" zoomScale="85" zoomScaleNormal="85" zoomScaleSheetLayoutView="113" workbookViewId="0">
      <selection activeCell="A11" sqref="A11:E33"/>
    </sheetView>
  </sheetViews>
  <sheetFormatPr defaultColWidth="10.140625" defaultRowHeight="1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7.8554687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6" width="8.42578125" customWidth="1"/>
    <col min="17" max="17" width="9.28515625" customWidth="1"/>
    <col min="18" max="18" width="8.42578125" customWidth="1"/>
    <col min="27" max="16384" width="10.140625" style="9"/>
  </cols>
  <sheetData>
    <row r="1" spans="1:26" ht="15" customHeight="1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>
      <c r="A2" s="10"/>
      <c r="B2" s="10"/>
      <c r="C2" s="10"/>
      <c r="D2" s="10"/>
      <c r="E2" s="10"/>
      <c r="F2" s="10"/>
      <c r="G2" s="173"/>
      <c r="H2" s="173"/>
      <c r="I2" s="173"/>
      <c r="J2" s="173"/>
      <c r="K2" s="173"/>
      <c r="L2" s="173"/>
      <c r="M2" s="10"/>
      <c r="N2" s="11"/>
      <c r="O2" s="174"/>
      <c r="P2" s="174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>
      <c r="A3" s="10"/>
      <c r="B3" s="10"/>
      <c r="C3" s="10"/>
      <c r="D3" s="10"/>
      <c r="E3" s="10"/>
      <c r="F3" s="10"/>
      <c r="G3" s="173"/>
      <c r="H3" s="173"/>
      <c r="I3" s="173"/>
      <c r="J3" s="173"/>
      <c r="K3" s="173"/>
      <c r="L3" s="173"/>
      <c r="M3" s="10"/>
      <c r="N3" s="11"/>
      <c r="O3" s="174"/>
      <c r="P3" s="174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>
      <c r="A4" s="10"/>
      <c r="B4" s="10"/>
      <c r="C4" s="10"/>
      <c r="D4" s="10"/>
      <c r="E4" s="10"/>
      <c r="F4" s="10"/>
      <c r="G4" s="173"/>
      <c r="H4" s="173"/>
      <c r="I4" s="173"/>
      <c r="J4" s="173"/>
      <c r="K4" s="173"/>
      <c r="L4" s="173"/>
      <c r="M4" s="10"/>
      <c r="N4" s="11"/>
      <c r="O4" s="174"/>
      <c r="P4" s="174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>
      <c r="A5" s="169" t="s">
        <v>8</v>
      </c>
      <c r="B5" s="169"/>
      <c r="C5" s="16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>
      <c r="A6" s="169" t="s">
        <v>10</v>
      </c>
      <c r="B6" s="169"/>
      <c r="C6" s="169"/>
      <c r="D6" s="179">
        <f>'08'!D6+1</f>
        <v>46062</v>
      </c>
      <c r="E6" s="179"/>
      <c r="F6" s="28"/>
      <c r="G6" s="171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>
      <c r="A8" s="175" t="s">
        <v>11</v>
      </c>
      <c r="B8" s="175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9"/>
      <c r="T8" s="9"/>
      <c r="U8" s="9"/>
      <c r="V8" s="9"/>
      <c r="W8" s="9"/>
      <c r="X8" s="9"/>
      <c r="Y8" s="9"/>
      <c r="Z8" s="9"/>
    </row>
    <row r="9" spans="1:26" ht="24.95" customHeight="1">
      <c r="A9" s="158" t="s">
        <v>12</v>
      </c>
      <c r="B9" s="159"/>
      <c r="C9" s="162" t="s">
        <v>13</v>
      </c>
      <c r="D9" s="162"/>
      <c r="E9" s="163"/>
      <c r="F9" s="20" t="s">
        <v>14</v>
      </c>
      <c r="G9" s="166" t="s">
        <v>15</v>
      </c>
      <c r="H9" s="167"/>
      <c r="I9" s="21" t="s">
        <v>16</v>
      </c>
      <c r="J9" s="166" t="s">
        <v>17</v>
      </c>
      <c r="K9" s="167"/>
      <c r="L9" s="21" t="s">
        <v>16</v>
      </c>
      <c r="M9" s="166" t="s">
        <v>18</v>
      </c>
      <c r="N9" s="167"/>
      <c r="O9" s="22" t="s">
        <v>16</v>
      </c>
      <c r="P9" s="167" t="s">
        <v>19</v>
      </c>
      <c r="Q9" s="167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>
      <c r="A10" s="160"/>
      <c r="B10" s="161"/>
      <c r="C10" s="164"/>
      <c r="D10" s="164"/>
      <c r="E10" s="165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68"/>
      <c r="Q10" s="168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>
      <c r="A11" s="137">
        <v>101</v>
      </c>
      <c r="B11" s="138"/>
      <c r="C11" s="139" t="s">
        <v>83</v>
      </c>
      <c r="D11" s="139"/>
      <c r="E11" s="140"/>
      <c r="F11" s="41">
        <v>60</v>
      </c>
      <c r="G11" s="42">
        <v>18.600000000000001</v>
      </c>
      <c r="H11" s="43"/>
      <c r="I11" s="44" t="s">
        <v>67</v>
      </c>
      <c r="J11" s="42">
        <v>20.2</v>
      </c>
      <c r="K11" s="43"/>
      <c r="L11" s="44" t="s">
        <v>67</v>
      </c>
      <c r="M11" s="42">
        <v>22.5</v>
      </c>
      <c r="N11" s="43"/>
      <c r="O11" s="44" t="s">
        <v>67</v>
      </c>
      <c r="P11" s="45">
        <f>G11+J11+M11</f>
        <v>61.3</v>
      </c>
      <c r="Q11" s="105">
        <f>P11+'08'!Q11</f>
        <v>357.3</v>
      </c>
      <c r="R11" s="97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>
      <c r="A12" s="135"/>
      <c r="B12" s="136"/>
      <c r="C12" s="141" t="s">
        <v>84</v>
      </c>
      <c r="D12" s="141"/>
      <c r="E12" s="142"/>
      <c r="F12" s="47">
        <v>30</v>
      </c>
      <c r="G12" s="48">
        <v>11.5</v>
      </c>
      <c r="H12" s="48"/>
      <c r="I12" s="49" t="s">
        <v>68</v>
      </c>
      <c r="J12" s="48">
        <v>9.4</v>
      </c>
      <c r="K12" s="48"/>
      <c r="L12" s="49" t="s">
        <v>69</v>
      </c>
      <c r="M12" s="48">
        <v>14</v>
      </c>
      <c r="N12" s="48"/>
      <c r="O12" s="49" t="s">
        <v>69</v>
      </c>
      <c r="P12" s="50">
        <f t="shared" ref="P12:P32" si="0">G12+J12+M12</f>
        <v>34.9</v>
      </c>
      <c r="Q12" s="50">
        <f>P12+'08'!Q12</f>
        <v>180.9</v>
      </c>
      <c r="R12" s="99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>
      <c r="A13" s="130"/>
      <c r="B13" s="131"/>
      <c r="C13" s="143" t="s">
        <v>85</v>
      </c>
      <c r="D13" s="143"/>
      <c r="E13" s="144"/>
      <c r="F13" s="52">
        <v>30</v>
      </c>
      <c r="G13" s="53">
        <v>7.9</v>
      </c>
      <c r="H13" s="53"/>
      <c r="I13" s="54" t="s">
        <v>70</v>
      </c>
      <c r="J13" s="53">
        <v>12.7</v>
      </c>
      <c r="K13" s="53"/>
      <c r="L13" s="54" t="s">
        <v>70</v>
      </c>
      <c r="M13" s="53">
        <v>8.3000000000000007</v>
      </c>
      <c r="N13" s="53"/>
      <c r="O13" s="54" t="s">
        <v>70</v>
      </c>
      <c r="P13" s="55">
        <f t="shared" si="0"/>
        <v>28.900000000000002</v>
      </c>
      <c r="Q13" s="55">
        <f>P13+'08'!Q13</f>
        <v>140.9</v>
      </c>
      <c r="R13" s="99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>
      <c r="A14" s="128">
        <v>102</v>
      </c>
      <c r="B14" s="145"/>
      <c r="C14" s="148" t="s">
        <v>86</v>
      </c>
      <c r="D14" s="149"/>
      <c r="E14" s="150"/>
      <c r="F14" s="56">
        <v>40</v>
      </c>
      <c r="G14" s="57"/>
      <c r="H14" s="58"/>
      <c r="I14" s="59"/>
      <c r="J14" s="60"/>
      <c r="K14" s="58"/>
      <c r="L14" s="59"/>
      <c r="M14" s="60"/>
      <c r="N14" s="58"/>
      <c r="O14" s="59"/>
      <c r="P14" s="61">
        <f t="shared" si="0"/>
        <v>0</v>
      </c>
      <c r="Q14" s="61">
        <f>P14+'08'!Q14</f>
        <v>158.89400000000001</v>
      </c>
      <c r="R14" s="102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>
      <c r="A15" s="146"/>
      <c r="B15" s="147"/>
      <c r="C15" s="151" t="s">
        <v>87</v>
      </c>
      <c r="D15" s="152"/>
      <c r="E15" s="153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50">
        <f t="shared" si="0"/>
        <v>0</v>
      </c>
      <c r="Q15" s="50">
        <f>P15+'08'!Q15</f>
        <v>0</v>
      </c>
      <c r="R15" s="97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>
      <c r="A16" s="146"/>
      <c r="B16" s="147"/>
      <c r="C16" s="154" t="s">
        <v>88</v>
      </c>
      <c r="D16" s="155"/>
      <c r="E16" s="156"/>
      <c r="F16" s="47">
        <f>F14*(2/100)</f>
        <v>0.8</v>
      </c>
      <c r="G16" s="48"/>
      <c r="H16" s="48"/>
      <c r="I16" s="49"/>
      <c r="J16" s="48"/>
      <c r="K16" s="48"/>
      <c r="L16" s="49"/>
      <c r="M16" s="48"/>
      <c r="N16" s="48"/>
      <c r="O16" s="49"/>
      <c r="P16" s="50">
        <f t="shared" si="0"/>
        <v>0</v>
      </c>
      <c r="Q16" s="50">
        <f>P16+'08'!Q16</f>
        <v>12.878699999999998</v>
      </c>
      <c r="R16" s="99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>
      <c r="A17" s="146"/>
      <c r="B17" s="147"/>
      <c r="C17" s="122" t="s">
        <v>89</v>
      </c>
      <c r="D17" s="123"/>
      <c r="E17" s="124"/>
      <c r="F17" s="47">
        <f>F14*12/100</f>
        <v>4.8</v>
      </c>
      <c r="G17" s="48"/>
      <c r="H17" s="48"/>
      <c r="I17" s="49"/>
      <c r="J17" s="48"/>
      <c r="K17" s="48"/>
      <c r="L17" s="49"/>
      <c r="M17" s="48"/>
      <c r="N17" s="48"/>
      <c r="O17" s="49"/>
      <c r="P17" s="50">
        <f t="shared" si="0"/>
        <v>0</v>
      </c>
      <c r="Q17" s="50">
        <f>P17+'08'!Q17</f>
        <v>0.22700000000000001</v>
      </c>
      <c r="R17" s="99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>
      <c r="A18" s="146"/>
      <c r="B18" s="147"/>
      <c r="C18" s="122" t="s">
        <v>90</v>
      </c>
      <c r="D18" s="123"/>
      <c r="E18" s="124"/>
      <c r="F18" s="47" t="s">
        <v>35</v>
      </c>
      <c r="G18" s="48"/>
      <c r="H18" s="48"/>
      <c r="I18" s="49"/>
      <c r="J18" s="48"/>
      <c r="K18" s="48"/>
      <c r="L18" s="49"/>
      <c r="M18" s="48"/>
      <c r="N18" s="48"/>
      <c r="O18" s="49"/>
      <c r="P18" s="50">
        <f t="shared" si="0"/>
        <v>0</v>
      </c>
      <c r="Q18" s="50">
        <f>P18+'08'!Q18</f>
        <v>102.732</v>
      </c>
      <c r="R18" s="99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>
      <c r="A19" s="146"/>
      <c r="B19" s="147"/>
      <c r="C19" s="122" t="s">
        <v>91</v>
      </c>
      <c r="D19" s="123"/>
      <c r="E19" s="124"/>
      <c r="F19" s="47" t="s">
        <v>35</v>
      </c>
      <c r="G19" s="48"/>
      <c r="H19" s="48"/>
      <c r="I19" s="49"/>
      <c r="J19" s="48"/>
      <c r="K19" s="48"/>
      <c r="L19" s="49"/>
      <c r="M19" s="48"/>
      <c r="N19" s="48"/>
      <c r="O19" s="49"/>
      <c r="P19" s="50">
        <f t="shared" si="0"/>
        <v>0</v>
      </c>
      <c r="Q19" s="50">
        <f>P19+'08'!Q19</f>
        <v>34.469000000000001</v>
      </c>
      <c r="R19" s="99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>
      <c r="A20" s="146"/>
      <c r="B20" s="147"/>
      <c r="C20" s="122" t="s">
        <v>92</v>
      </c>
      <c r="D20" s="123"/>
      <c r="E20" s="124"/>
      <c r="F20" s="63" t="s">
        <v>35</v>
      </c>
      <c r="G20" s="48"/>
      <c r="H20" s="48"/>
      <c r="I20" s="49"/>
      <c r="J20" s="48"/>
      <c r="K20" s="48"/>
      <c r="L20" s="49"/>
      <c r="M20" s="48"/>
      <c r="N20" s="48"/>
      <c r="O20" s="49"/>
      <c r="P20" s="50">
        <f t="shared" si="0"/>
        <v>0</v>
      </c>
      <c r="Q20" s="50">
        <f>P20+'08'!Q20</f>
        <v>0.80600000000000005</v>
      </c>
      <c r="R20" s="99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>
      <c r="A21" s="130"/>
      <c r="B21" s="131"/>
      <c r="C21" s="132" t="s">
        <v>93</v>
      </c>
      <c r="D21" s="133"/>
      <c r="E21" s="134"/>
      <c r="F21" s="52">
        <f>F14*(0.5/100)</f>
        <v>0.2</v>
      </c>
      <c r="G21" s="53"/>
      <c r="H21" s="53"/>
      <c r="I21" s="54"/>
      <c r="J21" s="53"/>
      <c r="K21" s="53"/>
      <c r="L21" s="54"/>
      <c r="M21" s="53"/>
      <c r="N21" s="53"/>
      <c r="O21" s="54"/>
      <c r="P21" s="55">
        <f t="shared" si="0"/>
        <v>0</v>
      </c>
      <c r="Q21" s="55">
        <f>P21+'08'!Q21</f>
        <v>7.8379000000000003</v>
      </c>
      <c r="R21" s="99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>
      <c r="A22" s="128" t="s">
        <v>105</v>
      </c>
      <c r="B22" s="129"/>
      <c r="C22" s="119" t="s">
        <v>94</v>
      </c>
      <c r="D22" s="120"/>
      <c r="E22" s="121"/>
      <c r="F22" s="56">
        <v>24</v>
      </c>
      <c r="G22" s="60"/>
      <c r="H22" s="58"/>
      <c r="I22" s="65"/>
      <c r="J22" s="60"/>
      <c r="K22" s="58"/>
      <c r="L22" s="65"/>
      <c r="M22" s="60"/>
      <c r="N22" s="58"/>
      <c r="O22" s="65"/>
      <c r="P22" s="61">
        <f t="shared" si="0"/>
        <v>0</v>
      </c>
      <c r="Q22" s="61">
        <f>P22+'08'!Q22</f>
        <v>79.344999999999999</v>
      </c>
      <c r="R22" s="102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>
      <c r="A23" s="130"/>
      <c r="B23" s="131"/>
      <c r="C23" s="132" t="s">
        <v>95</v>
      </c>
      <c r="D23" s="133"/>
      <c r="E23" s="134"/>
      <c r="F23" s="52">
        <v>24</v>
      </c>
      <c r="G23" s="53"/>
      <c r="H23" s="53"/>
      <c r="I23" s="66"/>
      <c r="J23" s="53"/>
      <c r="K23" s="53"/>
      <c r="L23" s="66"/>
      <c r="M23" s="53"/>
      <c r="N23" s="53"/>
      <c r="O23" s="66"/>
      <c r="P23" s="55">
        <f t="shared" si="0"/>
        <v>0</v>
      </c>
      <c r="Q23" s="55">
        <f>P23+'08'!Q23</f>
        <v>81.665000000000006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>
      <c r="A24" s="128" t="s">
        <v>106</v>
      </c>
      <c r="B24" s="129"/>
      <c r="C24" s="119" t="s">
        <v>96</v>
      </c>
      <c r="D24" s="120"/>
      <c r="E24" s="121"/>
      <c r="F24" s="56">
        <v>24</v>
      </c>
      <c r="G24" s="60">
        <v>7.282</v>
      </c>
      <c r="H24" s="58"/>
      <c r="I24" s="59" t="s">
        <v>77</v>
      </c>
      <c r="J24" s="60">
        <v>4.3479999999999999</v>
      </c>
      <c r="K24" s="58"/>
      <c r="L24" s="59" t="s">
        <v>77</v>
      </c>
      <c r="M24" s="60"/>
      <c r="N24" s="58"/>
      <c r="O24" s="59"/>
      <c r="P24" s="61">
        <f t="shared" si="0"/>
        <v>11.629999999999999</v>
      </c>
      <c r="Q24" s="61">
        <f>P24+'08'!Q24</f>
        <v>143.72499999999999</v>
      </c>
      <c r="R24" s="97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>
      <c r="A25" s="135"/>
      <c r="B25" s="136"/>
      <c r="C25" s="122" t="s">
        <v>46</v>
      </c>
      <c r="D25" s="123"/>
      <c r="E25" s="124"/>
      <c r="F25" s="47" t="s">
        <v>35</v>
      </c>
      <c r="G25" s="48">
        <v>0.24679999999999999</v>
      </c>
      <c r="H25" s="48"/>
      <c r="I25" s="49" t="s">
        <v>47</v>
      </c>
      <c r="J25" s="48">
        <v>0.14799999999999999</v>
      </c>
      <c r="K25" s="48"/>
      <c r="L25" s="49" t="s">
        <v>47</v>
      </c>
      <c r="M25" s="48"/>
      <c r="N25" s="48"/>
      <c r="O25" s="49"/>
      <c r="P25" s="50">
        <f t="shared" si="0"/>
        <v>0.39479999999999998</v>
      </c>
      <c r="Q25" s="50">
        <f>P25+'08'!Q25</f>
        <v>4.3583999999999996</v>
      </c>
      <c r="R25" s="99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>
      <c r="A26" s="135"/>
      <c r="B26" s="136"/>
      <c r="C26" s="122" t="s">
        <v>97</v>
      </c>
      <c r="D26" s="123"/>
      <c r="E26" s="124"/>
      <c r="F26" s="47" t="s">
        <v>35</v>
      </c>
      <c r="G26" s="48">
        <v>6.4329999999999998</v>
      </c>
      <c r="H26" s="48"/>
      <c r="I26" s="49" t="s">
        <v>47</v>
      </c>
      <c r="J26" s="48">
        <v>3.8809999999999998</v>
      </c>
      <c r="K26" s="48"/>
      <c r="L26" s="49" t="s">
        <v>47</v>
      </c>
      <c r="M26" s="48"/>
      <c r="N26" s="48"/>
      <c r="O26" s="49"/>
      <c r="P26" s="50">
        <f t="shared" si="0"/>
        <v>10.314</v>
      </c>
      <c r="Q26" s="50">
        <f>P26+'08'!Q26</f>
        <v>133.04400000000001</v>
      </c>
      <c r="R26" s="99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>
      <c r="A27" s="135"/>
      <c r="B27" s="136"/>
      <c r="C27" s="122" t="s">
        <v>98</v>
      </c>
      <c r="D27" s="123"/>
      <c r="E27" s="124"/>
      <c r="F27" s="47" t="s">
        <v>35</v>
      </c>
      <c r="G27" s="48"/>
      <c r="H27" s="48"/>
      <c r="I27" s="49"/>
      <c r="J27" s="48"/>
      <c r="K27" s="48"/>
      <c r="L27" s="49"/>
      <c r="M27" s="48"/>
      <c r="N27" s="48"/>
      <c r="O27" s="49"/>
      <c r="P27" s="50">
        <f t="shared" si="0"/>
        <v>0</v>
      </c>
      <c r="Q27" s="50">
        <f>P27+'08'!Q27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>
      <c r="A28" s="130"/>
      <c r="B28" s="131"/>
      <c r="C28" s="132" t="s">
        <v>99</v>
      </c>
      <c r="D28" s="133"/>
      <c r="E28" s="134"/>
      <c r="F28" s="52" t="s">
        <v>35</v>
      </c>
      <c r="G28" s="53">
        <v>0.52800000000000002</v>
      </c>
      <c r="H28" s="53"/>
      <c r="I28" s="54" t="s">
        <v>66</v>
      </c>
      <c r="J28" s="53">
        <v>0.35970000000000002</v>
      </c>
      <c r="K28" s="53"/>
      <c r="L28" s="54" t="s">
        <v>66</v>
      </c>
      <c r="M28" s="53"/>
      <c r="N28" s="53"/>
      <c r="O28" s="54"/>
      <c r="P28" s="55">
        <f t="shared" si="0"/>
        <v>0.88770000000000004</v>
      </c>
      <c r="Q28" s="55">
        <f>P28+'08'!Q28</f>
        <v>7.2942999999999998</v>
      </c>
      <c r="R28" s="97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>
      <c r="A29" s="113">
        <v>104</v>
      </c>
      <c r="B29" s="114"/>
      <c r="C29" s="119" t="s">
        <v>100</v>
      </c>
      <c r="D29" s="120"/>
      <c r="E29" s="121"/>
      <c r="F29" s="56"/>
      <c r="G29" s="60"/>
      <c r="H29" s="58"/>
      <c r="I29" s="59"/>
      <c r="J29" s="60"/>
      <c r="K29" s="58"/>
      <c r="L29" s="59"/>
      <c r="M29" s="60">
        <v>12.221</v>
      </c>
      <c r="N29" s="58"/>
      <c r="O29" s="59" t="s">
        <v>55</v>
      </c>
      <c r="P29" s="61">
        <f t="shared" si="0"/>
        <v>12.221</v>
      </c>
      <c r="Q29" s="61">
        <f>P29+'08'!Q29</f>
        <v>86.616000000000014</v>
      </c>
      <c r="R29" s="102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>
      <c r="A30" s="115"/>
      <c r="B30" s="116"/>
      <c r="C30" s="122" t="s">
        <v>102</v>
      </c>
      <c r="D30" s="123"/>
      <c r="E30" s="124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50">
        <f t="shared" si="0"/>
        <v>0</v>
      </c>
      <c r="Q30" s="50">
        <f>P30+'08'!Q30</f>
        <v>0</v>
      </c>
      <c r="R30" s="99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>
      <c r="A31" s="115"/>
      <c r="B31" s="116"/>
      <c r="C31" s="122" t="s">
        <v>101</v>
      </c>
      <c r="D31" s="123"/>
      <c r="E31" s="124"/>
      <c r="F31" s="47"/>
      <c r="G31" s="48"/>
      <c r="H31" s="48"/>
      <c r="I31" s="49"/>
      <c r="J31" s="48"/>
      <c r="K31" s="48"/>
      <c r="L31" s="49"/>
      <c r="M31" s="48">
        <v>2.4649999999999999</v>
      </c>
      <c r="N31" s="48"/>
      <c r="O31" s="49" t="s">
        <v>58</v>
      </c>
      <c r="P31" s="50">
        <f t="shared" si="0"/>
        <v>2.4649999999999999</v>
      </c>
      <c r="Q31" s="50">
        <f>P31+'08'!Q31</f>
        <v>17.265000000000001</v>
      </c>
      <c r="R31" s="99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>
      <c r="A32" s="115"/>
      <c r="B32" s="116"/>
      <c r="C32" s="122" t="s">
        <v>103</v>
      </c>
      <c r="D32" s="123"/>
      <c r="E32" s="124"/>
      <c r="F32" s="47"/>
      <c r="G32" s="48">
        <v>3.5169999999999999</v>
      </c>
      <c r="H32" s="48"/>
      <c r="I32" s="49" t="s">
        <v>76</v>
      </c>
      <c r="J32" s="48">
        <v>9.4710000000000001</v>
      </c>
      <c r="K32" s="48"/>
      <c r="L32" s="49" t="s">
        <v>76</v>
      </c>
      <c r="M32" s="49"/>
      <c r="N32" s="48"/>
      <c r="O32" s="49"/>
      <c r="P32" s="50">
        <f t="shared" si="0"/>
        <v>12.988</v>
      </c>
      <c r="Q32" s="50">
        <f>P32+'08'!Q32</f>
        <v>87.362000000000009</v>
      </c>
      <c r="R32" s="99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>
      <c r="A33" s="117"/>
      <c r="B33" s="118"/>
      <c r="C33" s="125" t="s">
        <v>104</v>
      </c>
      <c r="D33" s="126"/>
      <c r="E33" s="127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72">
        <f>G33+J33+M33</f>
        <v>0</v>
      </c>
      <c r="Q33" s="72">
        <f>P33+'08'!Q33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/>
    <row r="35" spans="1:26" ht="14.1" customHeight="1"/>
    <row r="36" spans="1:26" ht="14.1" customHeight="1"/>
    <row r="37" spans="1:26" ht="14.1" customHeight="1"/>
    <row r="38" spans="1:26" ht="14.1" customHeight="1"/>
    <row r="39" spans="1:26" ht="14.1" customHeight="1"/>
    <row r="40" spans="1:26" ht="14.1" customHeight="1"/>
    <row r="41" spans="1:26" ht="14.1" customHeight="1"/>
    <row r="42" spans="1:26" ht="14.1" customHeight="1"/>
    <row r="43" spans="1:26" ht="14.1" customHeight="1"/>
    <row r="44" spans="1:26" ht="14.1" customHeight="1"/>
    <row r="45" spans="1:26" ht="14.1" customHeight="1"/>
    <row r="46" spans="1:26" ht="14.1" customHeight="1"/>
    <row r="47" spans="1:26" ht="14.1" customHeight="1"/>
    <row r="48" spans="1:26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  <row r="58" ht="14.1" customHeight="1"/>
    <row r="59" ht="14.1" customHeight="1"/>
    <row r="60" ht="14.1" customHeight="1"/>
    <row r="61" ht="14.1" customHeight="1"/>
    <row r="62" ht="14.1" customHeight="1"/>
    <row r="63" ht="14.1" customHeight="1"/>
    <row r="64" ht="14.1" customHeight="1"/>
    <row r="65" ht="14.1" customHeight="1"/>
    <row r="66" ht="14.1" customHeight="1"/>
    <row r="67" ht="14.1" customHeight="1"/>
    <row r="68" ht="15" customHeight="1"/>
    <row r="69" ht="12.95" customHeight="1"/>
    <row r="70" ht="14.1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4.1" customHeight="1"/>
    <row r="122" ht="14.1" customHeight="1"/>
    <row r="123" ht="14.1" customHeight="1"/>
    <row r="124" ht="14.1" customHeight="1"/>
    <row r="125" ht="14.1" customHeight="1"/>
    <row r="126" ht="10.5" customHeight="1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B2D603E1-95B2-468C-9A05-C5C8ACF3310D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200025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200025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200025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B0F40-E5BB-499B-A89F-806077FC215B}">
  <sheetPr codeName="Sheet13"/>
  <dimension ref="A1:Z126"/>
  <sheetViews>
    <sheetView showGridLines="0" zoomScale="85" zoomScaleNormal="85" zoomScaleSheetLayoutView="113" workbookViewId="0">
      <selection activeCell="A11" sqref="A11:E33"/>
    </sheetView>
  </sheetViews>
  <sheetFormatPr defaultColWidth="10.140625" defaultRowHeight="1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7.8554687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6" width="8.42578125" customWidth="1"/>
    <col min="17" max="17" width="9.28515625" customWidth="1"/>
    <col min="18" max="18" width="8.42578125" customWidth="1"/>
    <col min="27" max="16384" width="10.140625" style="9"/>
  </cols>
  <sheetData>
    <row r="1" spans="1:26" ht="15" customHeight="1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>
      <c r="A2" s="10"/>
      <c r="B2" s="10"/>
      <c r="C2" s="10"/>
      <c r="D2" s="10"/>
      <c r="E2" s="10"/>
      <c r="F2" s="10"/>
      <c r="G2" s="173"/>
      <c r="H2" s="173"/>
      <c r="I2" s="173"/>
      <c r="J2" s="173"/>
      <c r="K2" s="173"/>
      <c r="L2" s="173"/>
      <c r="M2" s="10"/>
      <c r="N2" s="11"/>
      <c r="O2" s="174"/>
      <c r="P2" s="174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>
      <c r="A3" s="10"/>
      <c r="B3" s="10"/>
      <c r="C3" s="10"/>
      <c r="D3" s="10"/>
      <c r="E3" s="10"/>
      <c r="F3" s="10"/>
      <c r="G3" s="173"/>
      <c r="H3" s="173"/>
      <c r="I3" s="173"/>
      <c r="J3" s="173"/>
      <c r="K3" s="173"/>
      <c r="L3" s="173"/>
      <c r="M3" s="10"/>
      <c r="N3" s="11"/>
      <c r="O3" s="174"/>
      <c r="P3" s="174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>
      <c r="A4" s="10"/>
      <c r="B4" s="10"/>
      <c r="C4" s="10"/>
      <c r="D4" s="10"/>
      <c r="E4" s="10"/>
      <c r="F4" s="10"/>
      <c r="G4" s="173"/>
      <c r="H4" s="173"/>
      <c r="I4" s="173"/>
      <c r="J4" s="173"/>
      <c r="K4" s="173"/>
      <c r="L4" s="173"/>
      <c r="M4" s="10"/>
      <c r="N4" s="11"/>
      <c r="O4" s="174"/>
      <c r="P4" s="174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>
      <c r="A5" s="169" t="s">
        <v>8</v>
      </c>
      <c r="B5" s="169"/>
      <c r="C5" s="16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>
      <c r="A6" s="169" t="s">
        <v>10</v>
      </c>
      <c r="B6" s="169"/>
      <c r="C6" s="169"/>
      <c r="D6" s="179">
        <f>'09'!D6+1</f>
        <v>46063</v>
      </c>
      <c r="E6" s="179"/>
      <c r="F6" s="28"/>
      <c r="G6" s="171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>
      <c r="A8" s="175" t="s">
        <v>11</v>
      </c>
      <c r="B8" s="175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9"/>
      <c r="T8" s="9"/>
      <c r="U8" s="9"/>
      <c r="V8" s="9"/>
      <c r="W8" s="9"/>
      <c r="X8" s="9"/>
      <c r="Y8" s="9"/>
      <c r="Z8" s="9"/>
    </row>
    <row r="9" spans="1:26" ht="24.95" customHeight="1">
      <c r="A9" s="158" t="s">
        <v>12</v>
      </c>
      <c r="B9" s="159"/>
      <c r="C9" s="162" t="s">
        <v>13</v>
      </c>
      <c r="D9" s="162"/>
      <c r="E9" s="163"/>
      <c r="F9" s="20" t="s">
        <v>14</v>
      </c>
      <c r="G9" s="166" t="s">
        <v>15</v>
      </c>
      <c r="H9" s="167"/>
      <c r="I9" s="21" t="s">
        <v>16</v>
      </c>
      <c r="J9" s="166" t="s">
        <v>17</v>
      </c>
      <c r="K9" s="167"/>
      <c r="L9" s="21" t="s">
        <v>16</v>
      </c>
      <c r="M9" s="166" t="s">
        <v>18</v>
      </c>
      <c r="N9" s="167"/>
      <c r="O9" s="22" t="s">
        <v>16</v>
      </c>
      <c r="P9" s="167" t="s">
        <v>19</v>
      </c>
      <c r="Q9" s="167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>
      <c r="A10" s="160"/>
      <c r="B10" s="161"/>
      <c r="C10" s="164"/>
      <c r="D10" s="164"/>
      <c r="E10" s="165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68"/>
      <c r="Q10" s="168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>
      <c r="A11" s="137">
        <v>101</v>
      </c>
      <c r="B11" s="138"/>
      <c r="C11" s="139" t="s">
        <v>83</v>
      </c>
      <c r="D11" s="139"/>
      <c r="E11" s="140"/>
      <c r="F11" s="41">
        <v>60</v>
      </c>
      <c r="G11" s="42">
        <v>19.2</v>
      </c>
      <c r="H11" s="43"/>
      <c r="I11" s="44" t="s">
        <v>67</v>
      </c>
      <c r="J11" s="42">
        <v>20.100000000000001</v>
      </c>
      <c r="K11" s="43"/>
      <c r="L11" s="44" t="s">
        <v>67</v>
      </c>
      <c r="M11" s="42">
        <v>22.9</v>
      </c>
      <c r="N11" s="43"/>
      <c r="O11" s="44" t="s">
        <v>67</v>
      </c>
      <c r="P11" s="45">
        <f>G11+J11+M11</f>
        <v>62.199999999999996</v>
      </c>
      <c r="Q11" s="105">
        <f>P11+'09'!Q11</f>
        <v>419.5</v>
      </c>
      <c r="R11" s="97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>
      <c r="A12" s="135"/>
      <c r="B12" s="136"/>
      <c r="C12" s="141" t="s">
        <v>84</v>
      </c>
      <c r="D12" s="141"/>
      <c r="E12" s="142"/>
      <c r="F12" s="47">
        <v>30</v>
      </c>
      <c r="G12" s="48">
        <v>10.199999999999999</v>
      </c>
      <c r="H12" s="48"/>
      <c r="I12" s="49" t="s">
        <v>69</v>
      </c>
      <c r="J12" s="48">
        <v>9.9</v>
      </c>
      <c r="K12" s="48"/>
      <c r="L12" s="49" t="s">
        <v>69</v>
      </c>
      <c r="M12" s="48">
        <v>14.1</v>
      </c>
      <c r="N12" s="48"/>
      <c r="O12" s="49" t="s">
        <v>69</v>
      </c>
      <c r="P12" s="50">
        <f t="shared" ref="P12:P32" si="0">G12+J12+M12</f>
        <v>34.200000000000003</v>
      </c>
      <c r="Q12" s="50">
        <f>P12+'09'!Q12</f>
        <v>215.10000000000002</v>
      </c>
      <c r="R12" s="99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>
      <c r="A13" s="130"/>
      <c r="B13" s="131"/>
      <c r="C13" s="143" t="s">
        <v>85</v>
      </c>
      <c r="D13" s="143"/>
      <c r="E13" s="144"/>
      <c r="F13" s="52">
        <v>30</v>
      </c>
      <c r="G13" s="53">
        <v>5.8</v>
      </c>
      <c r="H13" s="53"/>
      <c r="I13" s="54" t="s">
        <v>70</v>
      </c>
      <c r="J13" s="53">
        <v>11.6</v>
      </c>
      <c r="K13" s="53"/>
      <c r="L13" s="54" t="s">
        <v>70</v>
      </c>
      <c r="M13" s="53">
        <v>8.6999999999999993</v>
      </c>
      <c r="N13" s="53"/>
      <c r="O13" s="54" t="s">
        <v>70</v>
      </c>
      <c r="P13" s="55">
        <f t="shared" si="0"/>
        <v>26.099999999999998</v>
      </c>
      <c r="Q13" s="50">
        <f>P13+'09'!Q13</f>
        <v>167</v>
      </c>
      <c r="R13" s="99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>
      <c r="A14" s="128">
        <v>102</v>
      </c>
      <c r="B14" s="145"/>
      <c r="C14" s="148" t="s">
        <v>86</v>
      </c>
      <c r="D14" s="149"/>
      <c r="E14" s="150"/>
      <c r="F14" s="56">
        <v>40</v>
      </c>
      <c r="G14" s="57"/>
      <c r="H14" s="58"/>
      <c r="I14" s="59"/>
      <c r="J14" s="60"/>
      <c r="K14" s="58"/>
      <c r="L14" s="59"/>
      <c r="M14" s="60"/>
      <c r="N14" s="58"/>
      <c r="O14" s="59"/>
      <c r="P14" s="61">
        <f t="shared" si="0"/>
        <v>0</v>
      </c>
      <c r="Q14" s="50">
        <f>P14+'09'!Q14</f>
        <v>158.89400000000001</v>
      </c>
      <c r="R14" s="102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>
      <c r="A15" s="146"/>
      <c r="B15" s="147"/>
      <c r="C15" s="151" t="s">
        <v>87</v>
      </c>
      <c r="D15" s="152"/>
      <c r="E15" s="153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50">
        <f t="shared" si="0"/>
        <v>0</v>
      </c>
      <c r="Q15" s="50">
        <f>P15+'09'!Q15</f>
        <v>0</v>
      </c>
      <c r="R15" s="97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>
      <c r="A16" s="146"/>
      <c r="B16" s="147"/>
      <c r="C16" s="154" t="s">
        <v>88</v>
      </c>
      <c r="D16" s="155"/>
      <c r="E16" s="156"/>
      <c r="F16" s="47">
        <f>F14*(2/100)</f>
        <v>0.8</v>
      </c>
      <c r="G16" s="48"/>
      <c r="H16" s="48"/>
      <c r="I16" s="49"/>
      <c r="J16" s="48"/>
      <c r="K16" s="48"/>
      <c r="L16" s="49"/>
      <c r="M16" s="48"/>
      <c r="N16" s="48"/>
      <c r="O16" s="49"/>
      <c r="P16" s="50">
        <f t="shared" si="0"/>
        <v>0</v>
      </c>
      <c r="Q16" s="50">
        <f>P16+'09'!Q16</f>
        <v>12.878699999999998</v>
      </c>
      <c r="R16" s="99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>
      <c r="A17" s="146"/>
      <c r="B17" s="147"/>
      <c r="C17" s="122" t="s">
        <v>89</v>
      </c>
      <c r="D17" s="123"/>
      <c r="E17" s="124"/>
      <c r="F17" s="47">
        <f>F14*12/100</f>
        <v>4.8</v>
      </c>
      <c r="G17" s="48"/>
      <c r="H17" s="48"/>
      <c r="I17" s="49"/>
      <c r="J17" s="48"/>
      <c r="K17" s="48"/>
      <c r="L17" s="49"/>
      <c r="M17" s="48"/>
      <c r="N17" s="48"/>
      <c r="O17" s="49"/>
      <c r="P17" s="50">
        <f t="shared" si="0"/>
        <v>0</v>
      </c>
      <c r="Q17" s="50">
        <f>P17+'09'!Q17</f>
        <v>0.22700000000000001</v>
      </c>
      <c r="R17" s="99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>
      <c r="A18" s="146"/>
      <c r="B18" s="147"/>
      <c r="C18" s="122" t="s">
        <v>90</v>
      </c>
      <c r="D18" s="123"/>
      <c r="E18" s="124"/>
      <c r="F18" s="47" t="s">
        <v>35</v>
      </c>
      <c r="G18" s="48"/>
      <c r="H18" s="48"/>
      <c r="I18" s="49"/>
      <c r="J18" s="48"/>
      <c r="K18" s="48"/>
      <c r="L18" s="49"/>
      <c r="M18" s="48"/>
      <c r="N18" s="48"/>
      <c r="O18" s="49"/>
      <c r="P18" s="50">
        <f t="shared" si="0"/>
        <v>0</v>
      </c>
      <c r="Q18" s="50">
        <f>P18+'09'!Q18</f>
        <v>102.732</v>
      </c>
      <c r="R18" s="99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>
      <c r="A19" s="146"/>
      <c r="B19" s="147"/>
      <c r="C19" s="122" t="s">
        <v>91</v>
      </c>
      <c r="D19" s="123"/>
      <c r="E19" s="124"/>
      <c r="F19" s="47" t="s">
        <v>35</v>
      </c>
      <c r="G19" s="48"/>
      <c r="H19" s="48"/>
      <c r="I19" s="49"/>
      <c r="J19" s="48"/>
      <c r="K19" s="48"/>
      <c r="L19" s="49"/>
      <c r="M19" s="48"/>
      <c r="N19" s="48"/>
      <c r="O19" s="49"/>
      <c r="P19" s="50">
        <f t="shared" si="0"/>
        <v>0</v>
      </c>
      <c r="Q19" s="50">
        <f>P19+'09'!Q19</f>
        <v>34.469000000000001</v>
      </c>
      <c r="R19" s="99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>
      <c r="A20" s="146"/>
      <c r="B20" s="147"/>
      <c r="C20" s="122" t="s">
        <v>92</v>
      </c>
      <c r="D20" s="123"/>
      <c r="E20" s="124"/>
      <c r="F20" s="63" t="s">
        <v>35</v>
      </c>
      <c r="G20" s="48"/>
      <c r="H20" s="48"/>
      <c r="I20" s="49"/>
      <c r="J20" s="48"/>
      <c r="K20" s="48"/>
      <c r="L20" s="49"/>
      <c r="M20" s="48"/>
      <c r="N20" s="48"/>
      <c r="O20" s="49"/>
      <c r="P20" s="50">
        <f t="shared" si="0"/>
        <v>0</v>
      </c>
      <c r="Q20" s="50">
        <f>P20+'09'!Q20</f>
        <v>0.80600000000000005</v>
      </c>
      <c r="R20" s="99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>
      <c r="A21" s="130"/>
      <c r="B21" s="131"/>
      <c r="C21" s="132" t="s">
        <v>93</v>
      </c>
      <c r="D21" s="133"/>
      <c r="E21" s="134"/>
      <c r="F21" s="52">
        <f>F14*(0.5/100)</f>
        <v>0.2</v>
      </c>
      <c r="G21" s="53"/>
      <c r="H21" s="53"/>
      <c r="I21" s="54"/>
      <c r="J21" s="53"/>
      <c r="K21" s="53"/>
      <c r="L21" s="54"/>
      <c r="M21" s="53"/>
      <c r="N21" s="53"/>
      <c r="O21" s="54"/>
      <c r="P21" s="55">
        <f t="shared" si="0"/>
        <v>0</v>
      </c>
      <c r="Q21" s="50">
        <f>P21+'09'!Q21</f>
        <v>7.8379000000000003</v>
      </c>
      <c r="R21" s="99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>
      <c r="A22" s="128" t="s">
        <v>105</v>
      </c>
      <c r="B22" s="129"/>
      <c r="C22" s="119" t="s">
        <v>94</v>
      </c>
      <c r="D22" s="120"/>
      <c r="E22" s="121"/>
      <c r="F22" s="56">
        <v>24</v>
      </c>
      <c r="G22" s="60"/>
      <c r="H22" s="58"/>
      <c r="I22" s="65"/>
      <c r="J22" s="60"/>
      <c r="K22" s="58"/>
      <c r="L22" s="65"/>
      <c r="M22" s="60"/>
      <c r="N22" s="58"/>
      <c r="O22" s="65"/>
      <c r="P22" s="61">
        <f t="shared" si="0"/>
        <v>0</v>
      </c>
      <c r="Q22" s="50">
        <f>P22+'09'!Q22</f>
        <v>79.344999999999999</v>
      </c>
      <c r="R22" s="102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>
      <c r="A23" s="130"/>
      <c r="B23" s="131"/>
      <c r="C23" s="132" t="s">
        <v>95</v>
      </c>
      <c r="D23" s="133"/>
      <c r="E23" s="134"/>
      <c r="F23" s="52">
        <v>24</v>
      </c>
      <c r="G23" s="53"/>
      <c r="H23" s="53"/>
      <c r="I23" s="66"/>
      <c r="J23" s="53"/>
      <c r="K23" s="53"/>
      <c r="L23" s="66"/>
      <c r="M23" s="53"/>
      <c r="N23" s="53"/>
      <c r="O23" s="66"/>
      <c r="P23" s="55">
        <f t="shared" si="0"/>
        <v>0</v>
      </c>
      <c r="Q23" s="50">
        <f>P23+'09'!Q23</f>
        <v>81.665000000000006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>
      <c r="A24" s="128" t="s">
        <v>106</v>
      </c>
      <c r="B24" s="129"/>
      <c r="C24" s="119" t="s">
        <v>96</v>
      </c>
      <c r="D24" s="120"/>
      <c r="E24" s="121"/>
      <c r="F24" s="56">
        <v>24</v>
      </c>
      <c r="G24" s="60"/>
      <c r="H24" s="58"/>
      <c r="I24" s="59"/>
      <c r="J24" s="60"/>
      <c r="K24" s="58"/>
      <c r="L24" s="59"/>
      <c r="M24" s="60"/>
      <c r="N24" s="58"/>
      <c r="O24" s="59"/>
      <c r="P24" s="61">
        <f t="shared" si="0"/>
        <v>0</v>
      </c>
      <c r="Q24" s="50">
        <f>P24+'09'!Q24</f>
        <v>143.72499999999999</v>
      </c>
      <c r="R24" s="97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>
      <c r="A25" s="135"/>
      <c r="B25" s="136"/>
      <c r="C25" s="122" t="s">
        <v>46</v>
      </c>
      <c r="D25" s="123"/>
      <c r="E25" s="124"/>
      <c r="F25" s="47" t="s">
        <v>35</v>
      </c>
      <c r="G25" s="48"/>
      <c r="H25" s="48"/>
      <c r="I25" s="49"/>
      <c r="J25" s="48"/>
      <c r="K25" s="48"/>
      <c r="L25" s="49"/>
      <c r="M25" s="48"/>
      <c r="N25" s="48"/>
      <c r="O25" s="49"/>
      <c r="P25" s="50">
        <f t="shared" si="0"/>
        <v>0</v>
      </c>
      <c r="Q25" s="50">
        <f>P25+'09'!Q25</f>
        <v>4.3583999999999996</v>
      </c>
      <c r="R25" s="99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>
      <c r="A26" s="135"/>
      <c r="B26" s="136"/>
      <c r="C26" s="122" t="s">
        <v>97</v>
      </c>
      <c r="D26" s="123"/>
      <c r="E26" s="124"/>
      <c r="F26" s="47" t="s">
        <v>35</v>
      </c>
      <c r="G26" s="48"/>
      <c r="H26" s="48"/>
      <c r="I26" s="49"/>
      <c r="J26" s="48"/>
      <c r="K26" s="48"/>
      <c r="L26" s="49"/>
      <c r="M26" s="48"/>
      <c r="N26" s="48"/>
      <c r="O26" s="49"/>
      <c r="P26" s="50">
        <f t="shared" si="0"/>
        <v>0</v>
      </c>
      <c r="Q26" s="50">
        <f>P26+'09'!Q26</f>
        <v>133.04400000000001</v>
      </c>
      <c r="R26" s="99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>
      <c r="A27" s="135"/>
      <c r="B27" s="136"/>
      <c r="C27" s="122" t="s">
        <v>98</v>
      </c>
      <c r="D27" s="123"/>
      <c r="E27" s="124"/>
      <c r="F27" s="47" t="s">
        <v>35</v>
      </c>
      <c r="G27" s="48"/>
      <c r="H27" s="48"/>
      <c r="I27" s="49"/>
      <c r="J27" s="48"/>
      <c r="K27" s="48"/>
      <c r="L27" s="49"/>
      <c r="M27" s="48"/>
      <c r="N27" s="48"/>
      <c r="O27" s="49"/>
      <c r="P27" s="50">
        <f t="shared" si="0"/>
        <v>0</v>
      </c>
      <c r="Q27" s="50">
        <f>P27+'09'!Q27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>
      <c r="A28" s="130"/>
      <c r="B28" s="131"/>
      <c r="C28" s="132" t="s">
        <v>99</v>
      </c>
      <c r="D28" s="133"/>
      <c r="E28" s="134"/>
      <c r="F28" s="52" t="s">
        <v>35</v>
      </c>
      <c r="G28" s="53"/>
      <c r="H28" s="53"/>
      <c r="I28" s="54"/>
      <c r="J28" s="53"/>
      <c r="K28" s="53"/>
      <c r="L28" s="54"/>
      <c r="M28" s="53"/>
      <c r="N28" s="53"/>
      <c r="O28" s="54"/>
      <c r="P28" s="55">
        <f t="shared" si="0"/>
        <v>0</v>
      </c>
      <c r="Q28" s="50">
        <f>P28+'09'!Q28</f>
        <v>7.2942999999999998</v>
      </c>
      <c r="R28" s="97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>
      <c r="A29" s="113">
        <v>104</v>
      </c>
      <c r="B29" s="114"/>
      <c r="C29" s="119" t="s">
        <v>100</v>
      </c>
      <c r="D29" s="120"/>
      <c r="E29" s="121"/>
      <c r="F29" s="56"/>
      <c r="G29" s="60"/>
      <c r="H29" s="58"/>
      <c r="I29" s="59"/>
      <c r="J29" s="60"/>
      <c r="K29" s="58"/>
      <c r="L29" s="59"/>
      <c r="M29" s="60"/>
      <c r="N29" s="58"/>
      <c r="O29" s="59"/>
      <c r="P29" s="61">
        <f t="shared" si="0"/>
        <v>0</v>
      </c>
      <c r="Q29" s="50">
        <f>P29+'09'!Q29</f>
        <v>86.616000000000014</v>
      </c>
      <c r="R29" s="102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>
      <c r="A30" s="115"/>
      <c r="B30" s="116"/>
      <c r="C30" s="122" t="s">
        <v>102</v>
      </c>
      <c r="D30" s="123"/>
      <c r="E30" s="124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50">
        <f t="shared" si="0"/>
        <v>0</v>
      </c>
      <c r="Q30" s="50">
        <f>P30+'09'!Q30</f>
        <v>0</v>
      </c>
      <c r="R30" s="99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>
      <c r="A31" s="115"/>
      <c r="B31" s="116"/>
      <c r="C31" s="122" t="s">
        <v>101</v>
      </c>
      <c r="D31" s="123"/>
      <c r="E31" s="124"/>
      <c r="F31" s="47"/>
      <c r="G31" s="48"/>
      <c r="H31" s="48"/>
      <c r="I31" s="49"/>
      <c r="J31" s="48"/>
      <c r="K31" s="48"/>
      <c r="L31" s="49"/>
      <c r="M31" s="48"/>
      <c r="N31" s="48"/>
      <c r="O31" s="49"/>
      <c r="P31" s="50">
        <f t="shared" si="0"/>
        <v>0</v>
      </c>
      <c r="Q31" s="50">
        <f>P31+'09'!Q31</f>
        <v>17.265000000000001</v>
      </c>
      <c r="R31" s="99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>
      <c r="A32" s="115"/>
      <c r="B32" s="116"/>
      <c r="C32" s="122" t="s">
        <v>103</v>
      </c>
      <c r="D32" s="123"/>
      <c r="E32" s="124"/>
      <c r="F32" s="47"/>
      <c r="G32" s="48"/>
      <c r="H32" s="48"/>
      <c r="I32" s="49"/>
      <c r="J32" s="48">
        <v>1.984</v>
      </c>
      <c r="K32" s="48"/>
      <c r="L32" s="54" t="s">
        <v>76</v>
      </c>
      <c r="M32" s="49">
        <v>10.973000000000001</v>
      </c>
      <c r="N32" s="48"/>
      <c r="O32" s="54" t="s">
        <v>76</v>
      </c>
      <c r="P32" s="50">
        <f t="shared" si="0"/>
        <v>12.957000000000001</v>
      </c>
      <c r="Q32" s="50">
        <f>P32+'09'!Q32</f>
        <v>100.31900000000002</v>
      </c>
      <c r="R32" s="99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>
      <c r="A33" s="117"/>
      <c r="B33" s="118"/>
      <c r="C33" s="125" t="s">
        <v>104</v>
      </c>
      <c r="D33" s="126"/>
      <c r="E33" s="127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72">
        <f>G33+J33+M33</f>
        <v>0</v>
      </c>
      <c r="Q33" s="72">
        <f>P33+'09'!Q33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/>
    <row r="35" spans="1:26" ht="14.1" customHeight="1"/>
    <row r="36" spans="1:26" ht="14.1" customHeight="1"/>
    <row r="37" spans="1:26" ht="14.1" customHeight="1"/>
    <row r="38" spans="1:26" ht="14.1" customHeight="1"/>
    <row r="39" spans="1:26" ht="14.1" customHeight="1"/>
    <row r="40" spans="1:26" ht="14.1" customHeight="1"/>
    <row r="41" spans="1:26" ht="14.1" customHeight="1"/>
    <row r="42" spans="1:26" ht="14.1" customHeight="1"/>
    <row r="43" spans="1:26" ht="14.1" customHeight="1"/>
    <row r="44" spans="1:26" ht="14.1" customHeight="1"/>
    <row r="45" spans="1:26" ht="14.1" customHeight="1"/>
    <row r="46" spans="1:26" ht="14.1" customHeight="1"/>
    <row r="47" spans="1:26" ht="14.1" customHeight="1"/>
    <row r="48" spans="1:26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  <row r="58" ht="14.1" customHeight="1"/>
    <row r="59" ht="14.1" customHeight="1"/>
    <row r="60" ht="14.1" customHeight="1"/>
    <row r="61" ht="14.1" customHeight="1"/>
    <row r="62" ht="14.1" customHeight="1"/>
    <row r="63" ht="14.1" customHeight="1"/>
    <row r="64" ht="14.1" customHeight="1"/>
    <row r="65" ht="14.1" customHeight="1"/>
    <row r="66" ht="14.1" customHeight="1"/>
    <row r="67" ht="14.1" customHeight="1"/>
    <row r="68" ht="15" customHeight="1"/>
    <row r="69" ht="12.95" customHeight="1"/>
    <row r="70" ht="14.1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4.1" customHeight="1"/>
    <row r="122" ht="14.1" customHeight="1"/>
    <row r="123" ht="14.1" customHeight="1"/>
    <row r="124" ht="14.1" customHeight="1"/>
    <row r="125" ht="14.1" customHeight="1"/>
    <row r="126" ht="10.5" customHeight="1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122100AB-8BA3-40FC-B51E-D82FC150A8DF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200025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6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200025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7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200025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8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4B729-4DD7-45C9-828F-E39858E49BF0}">
  <sheetPr codeName="Sheet14"/>
  <dimension ref="A1:Z126"/>
  <sheetViews>
    <sheetView showGridLines="0" zoomScale="85" zoomScaleNormal="85" zoomScaleSheetLayoutView="113" workbookViewId="0">
      <selection activeCell="A11" sqref="A11:E33"/>
    </sheetView>
  </sheetViews>
  <sheetFormatPr defaultColWidth="10.140625" defaultRowHeight="1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7.8554687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6" width="8.42578125" customWidth="1"/>
    <col min="17" max="17" width="9.28515625" customWidth="1"/>
    <col min="18" max="18" width="8.42578125" customWidth="1"/>
    <col min="27" max="16384" width="10.140625" style="9"/>
  </cols>
  <sheetData>
    <row r="1" spans="1:26" ht="15" customHeight="1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>
      <c r="A2" s="10"/>
      <c r="B2" s="10"/>
      <c r="C2" s="10"/>
      <c r="D2" s="10"/>
      <c r="E2" s="10"/>
      <c r="F2" s="10"/>
      <c r="G2" s="173"/>
      <c r="H2" s="173"/>
      <c r="I2" s="173"/>
      <c r="J2" s="173"/>
      <c r="K2" s="173"/>
      <c r="L2" s="173"/>
      <c r="M2" s="10"/>
      <c r="N2" s="11"/>
      <c r="O2" s="174"/>
      <c r="P2" s="174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>
      <c r="A3" s="10"/>
      <c r="B3" s="10"/>
      <c r="C3" s="10"/>
      <c r="D3" s="10"/>
      <c r="E3" s="10"/>
      <c r="F3" s="10"/>
      <c r="G3" s="173"/>
      <c r="H3" s="173"/>
      <c r="I3" s="173"/>
      <c r="J3" s="173"/>
      <c r="K3" s="173"/>
      <c r="L3" s="173"/>
      <c r="M3" s="10"/>
      <c r="N3" s="11"/>
      <c r="O3" s="174"/>
      <c r="P3" s="174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>
      <c r="A4" s="10"/>
      <c r="B4" s="10"/>
      <c r="C4" s="10"/>
      <c r="D4" s="10"/>
      <c r="E4" s="10"/>
      <c r="F4" s="10"/>
      <c r="G4" s="173"/>
      <c r="H4" s="173"/>
      <c r="I4" s="173"/>
      <c r="J4" s="173"/>
      <c r="K4" s="173"/>
      <c r="L4" s="173"/>
      <c r="M4" s="10"/>
      <c r="N4" s="11"/>
      <c r="O4" s="174"/>
      <c r="P4" s="174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>
      <c r="A5" s="169" t="s">
        <v>8</v>
      </c>
      <c r="B5" s="169"/>
      <c r="C5" s="16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>
      <c r="A6" s="169" t="s">
        <v>10</v>
      </c>
      <c r="B6" s="169"/>
      <c r="C6" s="169"/>
      <c r="D6" s="179">
        <f>'10'!D6+1</f>
        <v>46064</v>
      </c>
      <c r="E6" s="179"/>
      <c r="F6" s="28"/>
      <c r="G6" s="171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>
      <c r="A8" s="175" t="s">
        <v>11</v>
      </c>
      <c r="B8" s="175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9"/>
      <c r="T8" s="9"/>
      <c r="U8" s="9"/>
      <c r="V8" s="9"/>
      <c r="W8" s="9"/>
      <c r="X8" s="9"/>
      <c r="Y8" s="9"/>
      <c r="Z8" s="9"/>
    </row>
    <row r="9" spans="1:26" ht="24.95" customHeight="1">
      <c r="A9" s="158" t="s">
        <v>12</v>
      </c>
      <c r="B9" s="159"/>
      <c r="C9" s="162" t="s">
        <v>13</v>
      </c>
      <c r="D9" s="162"/>
      <c r="E9" s="163"/>
      <c r="F9" s="20" t="s">
        <v>14</v>
      </c>
      <c r="G9" s="166" t="s">
        <v>15</v>
      </c>
      <c r="H9" s="167"/>
      <c r="I9" s="21" t="s">
        <v>16</v>
      </c>
      <c r="J9" s="166" t="s">
        <v>17</v>
      </c>
      <c r="K9" s="167"/>
      <c r="L9" s="21" t="s">
        <v>16</v>
      </c>
      <c r="M9" s="166" t="s">
        <v>18</v>
      </c>
      <c r="N9" s="167"/>
      <c r="O9" s="22" t="s">
        <v>16</v>
      </c>
      <c r="P9" s="167" t="s">
        <v>19</v>
      </c>
      <c r="Q9" s="167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>
      <c r="A10" s="160"/>
      <c r="B10" s="161"/>
      <c r="C10" s="164"/>
      <c r="D10" s="164"/>
      <c r="E10" s="165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68"/>
      <c r="Q10" s="168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>
      <c r="A11" s="137">
        <v>101</v>
      </c>
      <c r="B11" s="138"/>
      <c r="C11" s="139" t="s">
        <v>83</v>
      </c>
      <c r="D11" s="139"/>
      <c r="E11" s="140"/>
      <c r="F11" s="41">
        <v>60</v>
      </c>
      <c r="G11" s="42">
        <v>18.5</v>
      </c>
      <c r="H11" s="43"/>
      <c r="I11" s="44" t="s">
        <v>67</v>
      </c>
      <c r="J11" s="42">
        <v>20.2</v>
      </c>
      <c r="K11" s="43"/>
      <c r="L11" s="44" t="s">
        <v>67</v>
      </c>
      <c r="M11" s="42">
        <v>22.6</v>
      </c>
      <c r="N11" s="43"/>
      <c r="O11" s="44" t="s">
        <v>67</v>
      </c>
      <c r="P11" s="45">
        <f>G11+J11+M11</f>
        <v>61.300000000000004</v>
      </c>
      <c r="Q11" s="105">
        <f>P11+'10'!Q11</f>
        <v>480.8</v>
      </c>
      <c r="R11" s="97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>
      <c r="A12" s="135"/>
      <c r="B12" s="136"/>
      <c r="C12" s="141" t="s">
        <v>84</v>
      </c>
      <c r="D12" s="141"/>
      <c r="E12" s="142"/>
      <c r="F12" s="47">
        <v>30</v>
      </c>
      <c r="G12" s="48">
        <v>9.9</v>
      </c>
      <c r="H12" s="48"/>
      <c r="I12" s="49" t="s">
        <v>69</v>
      </c>
      <c r="J12" s="48">
        <v>10.1</v>
      </c>
      <c r="K12" s="48"/>
      <c r="L12" s="49" t="s">
        <v>69</v>
      </c>
      <c r="M12" s="48">
        <v>14.1</v>
      </c>
      <c r="N12" s="48"/>
      <c r="O12" s="49" t="s">
        <v>69</v>
      </c>
      <c r="P12" s="50">
        <f t="shared" ref="P12:P32" si="0">G12+J12+M12</f>
        <v>34.1</v>
      </c>
      <c r="Q12" s="50">
        <f>P12+'10'!Q12</f>
        <v>249.20000000000002</v>
      </c>
      <c r="R12" s="99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>
      <c r="A13" s="130"/>
      <c r="B13" s="131"/>
      <c r="C13" s="143" t="s">
        <v>85</v>
      </c>
      <c r="D13" s="143"/>
      <c r="E13" s="144"/>
      <c r="F13" s="52">
        <v>30</v>
      </c>
      <c r="G13" s="53">
        <v>8.6999999999999993</v>
      </c>
      <c r="H13" s="53"/>
      <c r="I13" s="54" t="s">
        <v>70</v>
      </c>
      <c r="J13" s="53">
        <v>8.8000000000000007</v>
      </c>
      <c r="K13" s="53"/>
      <c r="L13" s="54" t="s">
        <v>70</v>
      </c>
      <c r="M13" s="53">
        <v>8.8000000000000007</v>
      </c>
      <c r="N13" s="53"/>
      <c r="O13" s="54" t="s">
        <v>70</v>
      </c>
      <c r="P13" s="55">
        <f t="shared" si="0"/>
        <v>26.3</v>
      </c>
      <c r="Q13" s="50">
        <f>P13+'10'!Q13</f>
        <v>193.3</v>
      </c>
      <c r="R13" s="99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>
      <c r="A14" s="128">
        <v>102</v>
      </c>
      <c r="B14" s="145"/>
      <c r="C14" s="148" t="s">
        <v>86</v>
      </c>
      <c r="D14" s="149"/>
      <c r="E14" s="150"/>
      <c r="F14" s="56">
        <v>40</v>
      </c>
      <c r="G14" s="57"/>
      <c r="H14" s="58"/>
      <c r="I14" s="59"/>
      <c r="J14" s="60"/>
      <c r="K14" s="58"/>
      <c r="L14" s="59"/>
      <c r="M14" s="60"/>
      <c r="N14" s="58"/>
      <c r="O14" s="59"/>
      <c r="P14" s="61">
        <f t="shared" si="0"/>
        <v>0</v>
      </c>
      <c r="Q14" s="50">
        <f>P14+'10'!Q14</f>
        <v>158.89400000000001</v>
      </c>
      <c r="R14" s="102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>
      <c r="A15" s="146"/>
      <c r="B15" s="147"/>
      <c r="C15" s="151" t="s">
        <v>87</v>
      </c>
      <c r="D15" s="152"/>
      <c r="E15" s="153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50">
        <f t="shared" si="0"/>
        <v>0</v>
      </c>
      <c r="Q15" s="50">
        <f>P15+'10'!Q15</f>
        <v>0</v>
      </c>
      <c r="R15" s="97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>
      <c r="A16" s="146"/>
      <c r="B16" s="147"/>
      <c r="C16" s="154" t="s">
        <v>88</v>
      </c>
      <c r="D16" s="155"/>
      <c r="E16" s="156"/>
      <c r="F16" s="47">
        <f>F14*(2/100)</f>
        <v>0.8</v>
      </c>
      <c r="G16" s="48"/>
      <c r="H16" s="48"/>
      <c r="I16" s="49"/>
      <c r="J16" s="48"/>
      <c r="K16" s="48"/>
      <c r="L16" s="49"/>
      <c r="M16" s="48"/>
      <c r="N16" s="48"/>
      <c r="O16" s="49"/>
      <c r="P16" s="50">
        <f t="shared" si="0"/>
        <v>0</v>
      </c>
      <c r="Q16" s="50">
        <f>P16+'10'!Q16</f>
        <v>12.878699999999998</v>
      </c>
      <c r="R16" s="99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>
      <c r="A17" s="146"/>
      <c r="B17" s="147"/>
      <c r="C17" s="122" t="s">
        <v>89</v>
      </c>
      <c r="D17" s="123"/>
      <c r="E17" s="124"/>
      <c r="F17" s="47">
        <f>F14*12/100</f>
        <v>4.8</v>
      </c>
      <c r="G17" s="48"/>
      <c r="H17" s="48"/>
      <c r="I17" s="49"/>
      <c r="J17" s="48"/>
      <c r="K17" s="48"/>
      <c r="L17" s="49"/>
      <c r="M17" s="48"/>
      <c r="N17" s="48"/>
      <c r="O17" s="49"/>
      <c r="P17" s="50">
        <f t="shared" si="0"/>
        <v>0</v>
      </c>
      <c r="Q17" s="50">
        <f>P17+'10'!Q17</f>
        <v>0.22700000000000001</v>
      </c>
      <c r="R17" s="99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>
      <c r="A18" s="146"/>
      <c r="B18" s="147"/>
      <c r="C18" s="122" t="s">
        <v>90</v>
      </c>
      <c r="D18" s="123"/>
      <c r="E18" s="124"/>
      <c r="F18" s="47" t="s">
        <v>35</v>
      </c>
      <c r="G18" s="48"/>
      <c r="H18" s="48"/>
      <c r="I18" s="49"/>
      <c r="J18" s="48"/>
      <c r="K18" s="48"/>
      <c r="L18" s="49"/>
      <c r="M18" s="48"/>
      <c r="N18" s="48"/>
      <c r="O18" s="49"/>
      <c r="P18" s="50">
        <f t="shared" si="0"/>
        <v>0</v>
      </c>
      <c r="Q18" s="50">
        <f>P18+'10'!Q18</f>
        <v>102.732</v>
      </c>
      <c r="R18" s="99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>
      <c r="A19" s="146"/>
      <c r="B19" s="147"/>
      <c r="C19" s="122" t="s">
        <v>91</v>
      </c>
      <c r="D19" s="123"/>
      <c r="E19" s="124"/>
      <c r="F19" s="47" t="s">
        <v>35</v>
      </c>
      <c r="G19" s="48"/>
      <c r="H19" s="48"/>
      <c r="I19" s="49"/>
      <c r="J19" s="48"/>
      <c r="K19" s="48"/>
      <c r="L19" s="49"/>
      <c r="M19" s="48"/>
      <c r="N19" s="48"/>
      <c r="O19" s="49"/>
      <c r="P19" s="50">
        <f t="shared" si="0"/>
        <v>0</v>
      </c>
      <c r="Q19" s="50">
        <f>P19+'10'!Q19</f>
        <v>34.469000000000001</v>
      </c>
      <c r="R19" s="99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>
      <c r="A20" s="146"/>
      <c r="B20" s="147"/>
      <c r="C20" s="122" t="s">
        <v>92</v>
      </c>
      <c r="D20" s="123"/>
      <c r="E20" s="124"/>
      <c r="F20" s="63" t="s">
        <v>35</v>
      </c>
      <c r="G20" s="48"/>
      <c r="H20" s="48"/>
      <c r="I20" s="49"/>
      <c r="J20" s="48"/>
      <c r="K20" s="48"/>
      <c r="L20" s="49"/>
      <c r="M20" s="48"/>
      <c r="N20" s="48"/>
      <c r="O20" s="49"/>
      <c r="P20" s="50">
        <f t="shared" si="0"/>
        <v>0</v>
      </c>
      <c r="Q20" s="50">
        <f>P20+'10'!Q20</f>
        <v>0.80600000000000005</v>
      </c>
      <c r="R20" s="99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>
      <c r="A21" s="130"/>
      <c r="B21" s="131"/>
      <c r="C21" s="132" t="s">
        <v>93</v>
      </c>
      <c r="D21" s="133"/>
      <c r="E21" s="134"/>
      <c r="F21" s="52">
        <f>F14*(0.5/100)</f>
        <v>0.2</v>
      </c>
      <c r="G21" s="53"/>
      <c r="H21" s="53"/>
      <c r="I21" s="54"/>
      <c r="J21" s="53"/>
      <c r="K21" s="53"/>
      <c r="L21" s="54"/>
      <c r="M21" s="53"/>
      <c r="N21" s="53"/>
      <c r="O21" s="54"/>
      <c r="P21" s="55">
        <f t="shared" si="0"/>
        <v>0</v>
      </c>
      <c r="Q21" s="50">
        <f>P21+'10'!Q21</f>
        <v>7.8379000000000003</v>
      </c>
      <c r="R21" s="99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>
      <c r="A22" s="128" t="s">
        <v>105</v>
      </c>
      <c r="B22" s="129"/>
      <c r="C22" s="119" t="s">
        <v>94</v>
      </c>
      <c r="D22" s="120"/>
      <c r="E22" s="121"/>
      <c r="F22" s="56">
        <v>24</v>
      </c>
      <c r="G22" s="60"/>
      <c r="H22" s="58"/>
      <c r="I22" s="65"/>
      <c r="J22" s="60"/>
      <c r="K22" s="58"/>
      <c r="L22" s="65"/>
      <c r="M22" s="60"/>
      <c r="N22" s="58"/>
      <c r="O22" s="65"/>
      <c r="P22" s="61">
        <f t="shared" si="0"/>
        <v>0</v>
      </c>
      <c r="Q22" s="50">
        <f>P22+'10'!Q22</f>
        <v>79.344999999999999</v>
      </c>
      <c r="R22" s="102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>
      <c r="A23" s="130"/>
      <c r="B23" s="131"/>
      <c r="C23" s="132" t="s">
        <v>95</v>
      </c>
      <c r="D23" s="133"/>
      <c r="E23" s="134"/>
      <c r="F23" s="52">
        <v>24</v>
      </c>
      <c r="G23" s="53"/>
      <c r="H23" s="53"/>
      <c r="I23" s="66"/>
      <c r="J23" s="53"/>
      <c r="K23" s="53"/>
      <c r="L23" s="66"/>
      <c r="M23" s="53"/>
      <c r="N23" s="53"/>
      <c r="O23" s="66"/>
      <c r="P23" s="55">
        <f t="shared" si="0"/>
        <v>0</v>
      </c>
      <c r="Q23" s="50">
        <f>P23+'10'!Q23</f>
        <v>81.665000000000006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>
      <c r="A24" s="128" t="s">
        <v>106</v>
      </c>
      <c r="B24" s="129"/>
      <c r="C24" s="119" t="s">
        <v>96</v>
      </c>
      <c r="D24" s="120"/>
      <c r="E24" s="121"/>
      <c r="F24" s="56">
        <v>24</v>
      </c>
      <c r="G24" s="60"/>
      <c r="H24" s="58"/>
      <c r="I24" s="59"/>
      <c r="J24" s="60"/>
      <c r="K24" s="58"/>
      <c r="L24" s="59"/>
      <c r="M24" s="60"/>
      <c r="N24" s="58"/>
      <c r="O24" s="59"/>
      <c r="P24" s="61">
        <f t="shared" si="0"/>
        <v>0</v>
      </c>
      <c r="Q24" s="50">
        <f>P24+'10'!Q24</f>
        <v>143.72499999999999</v>
      </c>
      <c r="R24" s="97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>
      <c r="A25" s="135"/>
      <c r="B25" s="136"/>
      <c r="C25" s="122" t="s">
        <v>46</v>
      </c>
      <c r="D25" s="123"/>
      <c r="E25" s="124"/>
      <c r="F25" s="47" t="s">
        <v>35</v>
      </c>
      <c r="G25" s="48"/>
      <c r="H25" s="48"/>
      <c r="I25" s="49"/>
      <c r="J25" s="48"/>
      <c r="K25" s="48"/>
      <c r="L25" s="49"/>
      <c r="M25" s="48"/>
      <c r="N25" s="48"/>
      <c r="O25" s="49"/>
      <c r="P25" s="50">
        <f t="shared" si="0"/>
        <v>0</v>
      </c>
      <c r="Q25" s="50">
        <f>P25+'10'!Q25</f>
        <v>4.3583999999999996</v>
      </c>
      <c r="R25" s="99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>
      <c r="A26" s="135"/>
      <c r="B26" s="136"/>
      <c r="C26" s="122" t="s">
        <v>97</v>
      </c>
      <c r="D26" s="123"/>
      <c r="E26" s="124"/>
      <c r="F26" s="47" t="s">
        <v>35</v>
      </c>
      <c r="G26" s="48"/>
      <c r="H26" s="48"/>
      <c r="I26" s="49"/>
      <c r="J26" s="48"/>
      <c r="K26" s="48"/>
      <c r="L26" s="49"/>
      <c r="M26" s="48"/>
      <c r="N26" s="48"/>
      <c r="O26" s="49"/>
      <c r="P26" s="50">
        <f t="shared" si="0"/>
        <v>0</v>
      </c>
      <c r="Q26" s="50">
        <f>P26+'10'!Q26</f>
        <v>133.04400000000001</v>
      </c>
      <c r="R26" s="99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>
      <c r="A27" s="135"/>
      <c r="B27" s="136"/>
      <c r="C27" s="122" t="s">
        <v>98</v>
      </c>
      <c r="D27" s="123"/>
      <c r="E27" s="124"/>
      <c r="F27" s="47" t="s">
        <v>35</v>
      </c>
      <c r="G27" s="48"/>
      <c r="H27" s="48"/>
      <c r="I27" s="49"/>
      <c r="J27" s="48"/>
      <c r="K27" s="48"/>
      <c r="L27" s="49"/>
      <c r="M27" s="48"/>
      <c r="N27" s="48"/>
      <c r="O27" s="49"/>
      <c r="P27" s="50">
        <f t="shared" si="0"/>
        <v>0</v>
      </c>
      <c r="Q27" s="50">
        <f>P27+'10'!Q27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>
      <c r="A28" s="130"/>
      <c r="B28" s="131"/>
      <c r="C28" s="132" t="s">
        <v>99</v>
      </c>
      <c r="D28" s="133"/>
      <c r="E28" s="134"/>
      <c r="F28" s="52" t="s">
        <v>35</v>
      </c>
      <c r="G28" s="53"/>
      <c r="H28" s="53"/>
      <c r="I28" s="54"/>
      <c r="J28" s="53"/>
      <c r="K28" s="53"/>
      <c r="L28" s="54"/>
      <c r="M28" s="53"/>
      <c r="N28" s="53"/>
      <c r="O28" s="54"/>
      <c r="P28" s="55">
        <f t="shared" si="0"/>
        <v>0</v>
      </c>
      <c r="Q28" s="50">
        <f>P28+'10'!Q28</f>
        <v>7.2942999999999998</v>
      </c>
      <c r="R28" s="97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>
      <c r="A29" s="113">
        <v>104</v>
      </c>
      <c r="B29" s="114"/>
      <c r="C29" s="119" t="s">
        <v>100</v>
      </c>
      <c r="D29" s="120"/>
      <c r="E29" s="121"/>
      <c r="F29" s="56"/>
      <c r="G29" s="60">
        <v>12.323</v>
      </c>
      <c r="H29" s="58"/>
      <c r="I29" s="59" t="s">
        <v>55</v>
      </c>
      <c r="J29" s="60">
        <v>0</v>
      </c>
      <c r="K29" s="58"/>
      <c r="L29" s="59" t="s">
        <v>55</v>
      </c>
      <c r="M29" s="60">
        <v>0</v>
      </c>
      <c r="N29" s="58"/>
      <c r="O29" s="59" t="s">
        <v>55</v>
      </c>
      <c r="P29" s="61">
        <f t="shared" si="0"/>
        <v>12.323</v>
      </c>
      <c r="Q29" s="50">
        <f>P29+'10'!Q29</f>
        <v>98.939000000000021</v>
      </c>
      <c r="R29" s="102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>
      <c r="A30" s="115"/>
      <c r="B30" s="116"/>
      <c r="C30" s="122" t="s">
        <v>102</v>
      </c>
      <c r="D30" s="123"/>
      <c r="E30" s="124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50">
        <f t="shared" si="0"/>
        <v>0</v>
      </c>
      <c r="Q30" s="50">
        <f>P30+'10'!Q30</f>
        <v>0</v>
      </c>
      <c r="R30" s="99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>
      <c r="A31" s="115"/>
      <c r="B31" s="116"/>
      <c r="C31" s="122" t="s">
        <v>101</v>
      </c>
      <c r="D31" s="123"/>
      <c r="E31" s="124"/>
      <c r="F31" s="47"/>
      <c r="G31" s="48">
        <v>2.4670000000000001</v>
      </c>
      <c r="H31" s="48"/>
      <c r="I31" s="49" t="s">
        <v>58</v>
      </c>
      <c r="J31" s="48">
        <v>0</v>
      </c>
      <c r="K31" s="48"/>
      <c r="L31" s="49" t="s">
        <v>58</v>
      </c>
      <c r="M31" s="48">
        <v>0</v>
      </c>
      <c r="N31" s="48"/>
      <c r="O31" s="49" t="s">
        <v>58</v>
      </c>
      <c r="P31" s="50">
        <f t="shared" si="0"/>
        <v>2.4670000000000001</v>
      </c>
      <c r="Q31" s="50">
        <f>P31+'10'!Q31</f>
        <v>19.731999999999999</v>
      </c>
      <c r="R31" s="99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>
      <c r="A32" s="115"/>
      <c r="B32" s="116"/>
      <c r="C32" s="122" t="s">
        <v>103</v>
      </c>
      <c r="D32" s="123"/>
      <c r="E32" s="124"/>
      <c r="F32" s="47"/>
      <c r="G32" s="48"/>
      <c r="H32" s="48"/>
      <c r="I32" s="49"/>
      <c r="J32" s="48"/>
      <c r="K32" s="48"/>
      <c r="L32" s="49"/>
      <c r="M32" s="107">
        <v>1.792</v>
      </c>
      <c r="N32" s="48"/>
      <c r="O32" s="49" t="s">
        <v>76</v>
      </c>
      <c r="P32" s="50">
        <f t="shared" si="0"/>
        <v>1.792</v>
      </c>
      <c r="Q32" s="50">
        <f>P32+'10'!Q32</f>
        <v>102.11100000000002</v>
      </c>
      <c r="R32" s="99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>
      <c r="A33" s="117"/>
      <c r="B33" s="118"/>
      <c r="C33" s="125" t="s">
        <v>104</v>
      </c>
      <c r="D33" s="126"/>
      <c r="E33" s="127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72">
        <f>G33+J33+M33</f>
        <v>0</v>
      </c>
      <c r="Q33" s="72">
        <f>P33+'10'!Q33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/>
    <row r="35" spans="1:26" ht="14.1" customHeight="1"/>
    <row r="36" spans="1:26" ht="14.1" customHeight="1"/>
    <row r="37" spans="1:26" ht="14.1" customHeight="1"/>
    <row r="38" spans="1:26" ht="14.1" customHeight="1"/>
    <row r="39" spans="1:26" ht="14.1" customHeight="1"/>
    <row r="40" spans="1:26" ht="14.1" customHeight="1"/>
    <row r="41" spans="1:26" ht="14.1" customHeight="1"/>
    <row r="42" spans="1:26" ht="14.1" customHeight="1"/>
    <row r="43" spans="1:26" ht="14.1" customHeight="1"/>
    <row r="44" spans="1:26" ht="14.1" customHeight="1"/>
    <row r="45" spans="1:26" ht="14.1" customHeight="1"/>
    <row r="46" spans="1:26" ht="14.1" customHeight="1"/>
    <row r="47" spans="1:26" ht="14.1" customHeight="1"/>
    <row r="48" spans="1:26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  <row r="58" ht="14.1" customHeight="1"/>
    <row r="59" ht="14.1" customHeight="1"/>
    <row r="60" ht="14.1" customHeight="1"/>
    <row r="61" ht="14.1" customHeight="1"/>
    <row r="62" ht="14.1" customHeight="1"/>
    <row r="63" ht="14.1" customHeight="1"/>
    <row r="64" ht="14.1" customHeight="1"/>
    <row r="65" ht="14.1" customHeight="1"/>
    <row r="66" ht="14.1" customHeight="1"/>
    <row r="67" ht="14.1" customHeight="1"/>
    <row r="68" ht="15" customHeight="1"/>
    <row r="69" ht="12.95" customHeight="1"/>
    <row r="70" ht="14.1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4.1" customHeight="1"/>
    <row r="122" ht="14.1" customHeight="1"/>
    <row r="123" ht="14.1" customHeight="1"/>
    <row r="124" ht="14.1" customHeight="1"/>
    <row r="125" ht="14.1" customHeight="1"/>
    <row r="126" ht="10.5" customHeight="1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A8752B00-AA0B-4BC5-BAB3-9EFAC655DB01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200025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0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200025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1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200025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2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52C68-C89C-4DC8-A7C5-32F3AE4AC525}">
  <sheetPr codeName="Sheet15"/>
  <dimension ref="A1:Z126"/>
  <sheetViews>
    <sheetView showGridLines="0" zoomScale="85" zoomScaleNormal="85" zoomScaleSheetLayoutView="113" workbookViewId="0">
      <selection activeCell="A11" sqref="A11:E33"/>
    </sheetView>
  </sheetViews>
  <sheetFormatPr defaultColWidth="10.140625" defaultRowHeight="1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7.8554687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6" width="8.42578125" customWidth="1"/>
    <col min="17" max="17" width="9.140625" customWidth="1"/>
    <col min="18" max="18" width="8.42578125" customWidth="1"/>
    <col min="27" max="16384" width="10.140625" style="9"/>
  </cols>
  <sheetData>
    <row r="1" spans="1:26" ht="15" customHeight="1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>
      <c r="A2" s="10"/>
      <c r="B2" s="10"/>
      <c r="C2" s="10"/>
      <c r="D2" s="10"/>
      <c r="E2" s="10"/>
      <c r="F2" s="10"/>
      <c r="G2" s="173"/>
      <c r="H2" s="173"/>
      <c r="I2" s="173"/>
      <c r="J2" s="173"/>
      <c r="K2" s="173"/>
      <c r="L2" s="173"/>
      <c r="M2" s="10"/>
      <c r="N2" s="11"/>
      <c r="O2" s="174"/>
      <c r="P2" s="174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>
      <c r="A3" s="10"/>
      <c r="B3" s="10"/>
      <c r="C3" s="10"/>
      <c r="D3" s="10"/>
      <c r="E3" s="10"/>
      <c r="F3" s="10"/>
      <c r="G3" s="173"/>
      <c r="H3" s="173"/>
      <c r="I3" s="173"/>
      <c r="J3" s="173"/>
      <c r="K3" s="173"/>
      <c r="L3" s="173"/>
      <c r="M3" s="10"/>
      <c r="N3" s="11"/>
      <c r="O3" s="174"/>
      <c r="P3" s="174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>
      <c r="A4" s="10"/>
      <c r="B4" s="10"/>
      <c r="C4" s="10"/>
      <c r="D4" s="10"/>
      <c r="E4" s="10"/>
      <c r="F4" s="10"/>
      <c r="G4" s="173"/>
      <c r="H4" s="173"/>
      <c r="I4" s="173"/>
      <c r="J4" s="173"/>
      <c r="K4" s="173"/>
      <c r="L4" s="173"/>
      <c r="M4" s="10"/>
      <c r="N4" s="11"/>
      <c r="O4" s="174"/>
      <c r="P4" s="174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>
      <c r="A5" s="169" t="s">
        <v>8</v>
      </c>
      <c r="B5" s="169"/>
      <c r="C5" s="16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>
      <c r="A6" s="169" t="s">
        <v>10</v>
      </c>
      <c r="B6" s="169"/>
      <c r="C6" s="169"/>
      <c r="D6" s="179">
        <f>'11'!D6+1</f>
        <v>46065</v>
      </c>
      <c r="E6" s="179"/>
      <c r="F6" s="28"/>
      <c r="G6" s="171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>
      <c r="A8" s="175" t="s">
        <v>11</v>
      </c>
      <c r="B8" s="175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9"/>
      <c r="T8" s="9"/>
      <c r="U8" s="9"/>
      <c r="V8" s="9"/>
      <c r="W8" s="9"/>
      <c r="X8" s="9"/>
      <c r="Y8" s="9"/>
      <c r="Z8" s="9"/>
    </row>
    <row r="9" spans="1:26" ht="24.95" customHeight="1">
      <c r="A9" s="158" t="s">
        <v>12</v>
      </c>
      <c r="B9" s="159"/>
      <c r="C9" s="162" t="s">
        <v>13</v>
      </c>
      <c r="D9" s="162"/>
      <c r="E9" s="163"/>
      <c r="F9" s="20" t="s">
        <v>14</v>
      </c>
      <c r="G9" s="166" t="s">
        <v>15</v>
      </c>
      <c r="H9" s="167"/>
      <c r="I9" s="21" t="s">
        <v>16</v>
      </c>
      <c r="J9" s="166" t="s">
        <v>17</v>
      </c>
      <c r="K9" s="167"/>
      <c r="L9" s="21" t="s">
        <v>16</v>
      </c>
      <c r="M9" s="166" t="s">
        <v>18</v>
      </c>
      <c r="N9" s="167"/>
      <c r="O9" s="22" t="s">
        <v>16</v>
      </c>
      <c r="P9" s="167" t="s">
        <v>19</v>
      </c>
      <c r="Q9" s="167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>
      <c r="A10" s="160"/>
      <c r="B10" s="161"/>
      <c r="C10" s="164"/>
      <c r="D10" s="164"/>
      <c r="E10" s="165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68"/>
      <c r="Q10" s="168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>
      <c r="A11" s="137">
        <v>101</v>
      </c>
      <c r="B11" s="138"/>
      <c r="C11" s="139" t="s">
        <v>83</v>
      </c>
      <c r="D11" s="139"/>
      <c r="E11" s="140"/>
      <c r="F11" s="41">
        <v>60</v>
      </c>
      <c r="G11" s="42">
        <v>17.600000000000001</v>
      </c>
      <c r="H11" s="43"/>
      <c r="I11" s="44" t="s">
        <v>67</v>
      </c>
      <c r="J11" s="42">
        <v>19.7</v>
      </c>
      <c r="K11" s="43"/>
      <c r="L11" s="44" t="s">
        <v>67</v>
      </c>
      <c r="M11" s="42">
        <v>23.2</v>
      </c>
      <c r="N11" s="43"/>
      <c r="O11" s="44" t="s">
        <v>67</v>
      </c>
      <c r="P11" s="45">
        <f>G11+J11+M11</f>
        <v>60.5</v>
      </c>
      <c r="Q11" s="105">
        <f>P11+'11'!Q11</f>
        <v>541.29999999999995</v>
      </c>
      <c r="R11" s="97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>
      <c r="A12" s="135"/>
      <c r="B12" s="136"/>
      <c r="C12" s="141" t="s">
        <v>84</v>
      </c>
      <c r="D12" s="141"/>
      <c r="E12" s="142"/>
      <c r="F12" s="47">
        <v>30</v>
      </c>
      <c r="G12" s="48">
        <v>10.199999999999999</v>
      </c>
      <c r="H12" s="48"/>
      <c r="I12" s="49" t="s">
        <v>69</v>
      </c>
      <c r="J12" s="48">
        <v>10</v>
      </c>
      <c r="K12" s="48"/>
      <c r="L12" s="49" t="s">
        <v>69</v>
      </c>
      <c r="M12" s="48">
        <v>13.8</v>
      </c>
      <c r="N12" s="48"/>
      <c r="O12" s="49" t="s">
        <v>69</v>
      </c>
      <c r="P12" s="50">
        <f t="shared" ref="P12:P32" si="0">G12+J12+M12</f>
        <v>34</v>
      </c>
      <c r="Q12" s="50">
        <f>P12+'11'!Q12</f>
        <v>283.20000000000005</v>
      </c>
      <c r="R12" s="99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>
      <c r="A13" s="130"/>
      <c r="B13" s="131"/>
      <c r="C13" s="143" t="s">
        <v>85</v>
      </c>
      <c r="D13" s="143"/>
      <c r="E13" s="144"/>
      <c r="F13" s="52">
        <v>30</v>
      </c>
      <c r="G13" s="53">
        <v>7.4</v>
      </c>
      <c r="H13" s="53"/>
      <c r="I13" s="54" t="s">
        <v>70</v>
      </c>
      <c r="J13" s="53">
        <v>9.3000000000000007</v>
      </c>
      <c r="K13" s="53"/>
      <c r="L13" s="54" t="s">
        <v>70</v>
      </c>
      <c r="M13" s="53">
        <v>9.3000000000000007</v>
      </c>
      <c r="N13" s="53"/>
      <c r="O13" s="54" t="s">
        <v>70</v>
      </c>
      <c r="P13" s="55">
        <f t="shared" si="0"/>
        <v>26.000000000000004</v>
      </c>
      <c r="Q13" s="55">
        <f>P13+'11'!Q13</f>
        <v>219.3</v>
      </c>
      <c r="R13" s="99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>
      <c r="A14" s="128">
        <v>102</v>
      </c>
      <c r="B14" s="145"/>
      <c r="C14" s="148" t="s">
        <v>86</v>
      </c>
      <c r="D14" s="149"/>
      <c r="E14" s="150"/>
      <c r="F14" s="56">
        <v>40</v>
      </c>
      <c r="G14" s="57"/>
      <c r="H14" s="58"/>
      <c r="I14" s="59"/>
      <c r="J14" s="60"/>
      <c r="K14" s="58"/>
      <c r="L14" s="59"/>
      <c r="M14" s="60"/>
      <c r="N14" s="58"/>
      <c r="O14" s="59"/>
      <c r="P14" s="61">
        <f t="shared" si="0"/>
        <v>0</v>
      </c>
      <c r="Q14" s="61">
        <f>P14+'11'!Q14</f>
        <v>158.89400000000001</v>
      </c>
      <c r="R14" s="102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>
      <c r="A15" s="146"/>
      <c r="B15" s="147"/>
      <c r="C15" s="151" t="s">
        <v>87</v>
      </c>
      <c r="D15" s="152"/>
      <c r="E15" s="153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50">
        <f t="shared" si="0"/>
        <v>0</v>
      </c>
      <c r="Q15" s="50">
        <f>P15+'11'!Q15</f>
        <v>0</v>
      </c>
      <c r="R15" s="97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>
      <c r="A16" s="146"/>
      <c r="B16" s="147"/>
      <c r="C16" s="154" t="s">
        <v>88</v>
      </c>
      <c r="D16" s="155"/>
      <c r="E16" s="156"/>
      <c r="F16" s="47">
        <f>F14*(2/100)</f>
        <v>0.8</v>
      </c>
      <c r="G16" s="48"/>
      <c r="H16" s="48"/>
      <c r="I16" s="49"/>
      <c r="J16" s="48"/>
      <c r="K16" s="48"/>
      <c r="L16" s="49"/>
      <c r="M16" s="48"/>
      <c r="N16" s="48"/>
      <c r="O16" s="49"/>
      <c r="P16" s="50">
        <f t="shared" si="0"/>
        <v>0</v>
      </c>
      <c r="Q16" s="50">
        <f>P16+'11'!Q16</f>
        <v>12.878699999999998</v>
      </c>
      <c r="R16" s="99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>
      <c r="A17" s="146"/>
      <c r="B17" s="147"/>
      <c r="C17" s="122" t="s">
        <v>89</v>
      </c>
      <c r="D17" s="123"/>
      <c r="E17" s="124"/>
      <c r="F17" s="47">
        <f>F14*12/100</f>
        <v>4.8</v>
      </c>
      <c r="G17" s="48"/>
      <c r="H17" s="48"/>
      <c r="I17" s="49"/>
      <c r="J17" s="48"/>
      <c r="K17" s="48"/>
      <c r="L17" s="49"/>
      <c r="M17" s="48"/>
      <c r="N17" s="48"/>
      <c r="O17" s="49"/>
      <c r="P17" s="50">
        <f t="shared" si="0"/>
        <v>0</v>
      </c>
      <c r="Q17" s="50">
        <f>P17+'11'!Q17</f>
        <v>0.22700000000000001</v>
      </c>
      <c r="R17" s="99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>
      <c r="A18" s="146"/>
      <c r="B18" s="147"/>
      <c r="C18" s="122" t="s">
        <v>90</v>
      </c>
      <c r="D18" s="123"/>
      <c r="E18" s="124"/>
      <c r="F18" s="47" t="s">
        <v>35</v>
      </c>
      <c r="G18" s="48"/>
      <c r="H18" s="48"/>
      <c r="I18" s="49"/>
      <c r="J18" s="48"/>
      <c r="K18" s="48"/>
      <c r="L18" s="49"/>
      <c r="M18" s="48"/>
      <c r="N18" s="48"/>
      <c r="O18" s="49"/>
      <c r="P18" s="50">
        <f t="shared" si="0"/>
        <v>0</v>
      </c>
      <c r="Q18" s="50">
        <f>P18+'11'!Q18</f>
        <v>102.732</v>
      </c>
      <c r="R18" s="99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>
      <c r="A19" s="146"/>
      <c r="B19" s="147"/>
      <c r="C19" s="122" t="s">
        <v>91</v>
      </c>
      <c r="D19" s="123"/>
      <c r="E19" s="124"/>
      <c r="F19" s="47" t="s">
        <v>35</v>
      </c>
      <c r="G19" s="48"/>
      <c r="H19" s="48"/>
      <c r="I19" s="49"/>
      <c r="J19" s="48"/>
      <c r="K19" s="48"/>
      <c r="L19" s="49"/>
      <c r="M19" s="48"/>
      <c r="N19" s="48"/>
      <c r="O19" s="49"/>
      <c r="P19" s="50">
        <f t="shared" si="0"/>
        <v>0</v>
      </c>
      <c r="Q19" s="50">
        <f>P19+'11'!Q19</f>
        <v>34.469000000000001</v>
      </c>
      <c r="R19" s="99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>
      <c r="A20" s="146"/>
      <c r="B20" s="147"/>
      <c r="C20" s="122" t="s">
        <v>92</v>
      </c>
      <c r="D20" s="123"/>
      <c r="E20" s="124"/>
      <c r="F20" s="63" t="s">
        <v>35</v>
      </c>
      <c r="G20" s="48"/>
      <c r="H20" s="48"/>
      <c r="I20" s="49"/>
      <c r="J20" s="48"/>
      <c r="K20" s="48"/>
      <c r="L20" s="49"/>
      <c r="M20" s="48"/>
      <c r="N20" s="48"/>
      <c r="O20" s="49"/>
      <c r="P20" s="50">
        <f t="shared" si="0"/>
        <v>0</v>
      </c>
      <c r="Q20" s="50">
        <f>P20+'11'!Q20</f>
        <v>0.80600000000000005</v>
      </c>
      <c r="R20" s="99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>
      <c r="A21" s="130"/>
      <c r="B21" s="131"/>
      <c r="C21" s="132" t="s">
        <v>93</v>
      </c>
      <c r="D21" s="133"/>
      <c r="E21" s="134"/>
      <c r="F21" s="52">
        <f>F14*(0.5/100)</f>
        <v>0.2</v>
      </c>
      <c r="G21" s="53"/>
      <c r="H21" s="53"/>
      <c r="I21" s="54"/>
      <c r="J21" s="53"/>
      <c r="K21" s="53"/>
      <c r="L21" s="54"/>
      <c r="M21" s="53"/>
      <c r="N21" s="53"/>
      <c r="O21" s="54"/>
      <c r="P21" s="55">
        <f t="shared" si="0"/>
        <v>0</v>
      </c>
      <c r="Q21" s="55">
        <f>P21+'11'!Q21</f>
        <v>7.8379000000000003</v>
      </c>
      <c r="R21" s="99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>
      <c r="A22" s="128" t="s">
        <v>105</v>
      </c>
      <c r="B22" s="129"/>
      <c r="C22" s="119" t="s">
        <v>94</v>
      </c>
      <c r="D22" s="120"/>
      <c r="E22" s="121"/>
      <c r="F22" s="56">
        <v>24</v>
      </c>
      <c r="G22" s="60"/>
      <c r="H22" s="58"/>
      <c r="I22" s="65"/>
      <c r="J22" s="60"/>
      <c r="K22" s="58"/>
      <c r="L22" s="65"/>
      <c r="M22" s="60"/>
      <c r="N22" s="58"/>
      <c r="O22" s="65"/>
      <c r="P22" s="61">
        <f t="shared" si="0"/>
        <v>0</v>
      </c>
      <c r="Q22" s="61">
        <f>P22+'11'!Q22</f>
        <v>79.344999999999999</v>
      </c>
      <c r="R22" s="102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>
      <c r="A23" s="130"/>
      <c r="B23" s="131"/>
      <c r="C23" s="132" t="s">
        <v>95</v>
      </c>
      <c r="D23" s="133"/>
      <c r="E23" s="134"/>
      <c r="F23" s="52">
        <v>24</v>
      </c>
      <c r="G23" s="53"/>
      <c r="H23" s="53"/>
      <c r="I23" s="66"/>
      <c r="J23" s="53"/>
      <c r="K23" s="53"/>
      <c r="L23" s="66"/>
      <c r="M23" s="53"/>
      <c r="N23" s="53"/>
      <c r="O23" s="66"/>
      <c r="P23" s="55">
        <f t="shared" si="0"/>
        <v>0</v>
      </c>
      <c r="Q23" s="55">
        <f>P23+'11'!Q23</f>
        <v>81.665000000000006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>
      <c r="A24" s="128" t="s">
        <v>106</v>
      </c>
      <c r="B24" s="129"/>
      <c r="C24" s="119" t="s">
        <v>96</v>
      </c>
      <c r="D24" s="120"/>
      <c r="E24" s="121"/>
      <c r="F24" s="56">
        <v>24</v>
      </c>
      <c r="G24" s="60"/>
      <c r="H24" s="58"/>
      <c r="I24" s="59"/>
      <c r="J24" s="60"/>
      <c r="K24" s="58"/>
      <c r="L24" s="59"/>
      <c r="M24" s="60"/>
      <c r="N24" s="58"/>
      <c r="O24" s="59"/>
      <c r="P24" s="61">
        <f t="shared" si="0"/>
        <v>0</v>
      </c>
      <c r="Q24" s="61">
        <f>P24+'11'!Q24</f>
        <v>143.72499999999999</v>
      </c>
      <c r="R24" s="97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>
      <c r="A25" s="135"/>
      <c r="B25" s="136"/>
      <c r="C25" s="122" t="s">
        <v>46</v>
      </c>
      <c r="D25" s="123"/>
      <c r="E25" s="124"/>
      <c r="F25" s="47" t="s">
        <v>35</v>
      </c>
      <c r="G25" s="48"/>
      <c r="H25" s="48"/>
      <c r="I25" s="49"/>
      <c r="J25" s="48"/>
      <c r="K25" s="48"/>
      <c r="L25" s="49"/>
      <c r="M25" s="48"/>
      <c r="N25" s="48"/>
      <c r="O25" s="49"/>
      <c r="P25" s="50">
        <f t="shared" si="0"/>
        <v>0</v>
      </c>
      <c r="Q25" s="50">
        <f>P25+'11'!Q25</f>
        <v>4.3583999999999996</v>
      </c>
      <c r="R25" s="99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>
      <c r="A26" s="135"/>
      <c r="B26" s="136"/>
      <c r="C26" s="122" t="s">
        <v>97</v>
      </c>
      <c r="D26" s="123"/>
      <c r="E26" s="124"/>
      <c r="F26" s="47" t="s">
        <v>35</v>
      </c>
      <c r="G26" s="48"/>
      <c r="H26" s="48"/>
      <c r="I26" s="49"/>
      <c r="J26" s="48"/>
      <c r="K26" s="48"/>
      <c r="L26" s="49"/>
      <c r="M26" s="48"/>
      <c r="N26" s="48"/>
      <c r="O26" s="49"/>
      <c r="P26" s="50">
        <f t="shared" si="0"/>
        <v>0</v>
      </c>
      <c r="Q26" s="50">
        <f>P26+'11'!Q26</f>
        <v>133.04400000000001</v>
      </c>
      <c r="R26" s="99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>
      <c r="A27" s="135"/>
      <c r="B27" s="136"/>
      <c r="C27" s="122" t="s">
        <v>98</v>
      </c>
      <c r="D27" s="123"/>
      <c r="E27" s="124"/>
      <c r="F27" s="47" t="s">
        <v>35</v>
      </c>
      <c r="G27" s="48"/>
      <c r="H27" s="48"/>
      <c r="I27" s="49"/>
      <c r="J27" s="48"/>
      <c r="K27" s="48"/>
      <c r="L27" s="49"/>
      <c r="M27" s="48"/>
      <c r="N27" s="48"/>
      <c r="O27" s="49"/>
      <c r="P27" s="50">
        <f t="shared" si="0"/>
        <v>0</v>
      </c>
      <c r="Q27" s="50">
        <f>P27+'11'!Q27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>
      <c r="A28" s="130"/>
      <c r="B28" s="131"/>
      <c r="C28" s="132" t="s">
        <v>99</v>
      </c>
      <c r="D28" s="133"/>
      <c r="E28" s="134"/>
      <c r="F28" s="52" t="s">
        <v>35</v>
      </c>
      <c r="G28" s="53"/>
      <c r="H28" s="53"/>
      <c r="I28" s="54"/>
      <c r="J28" s="53"/>
      <c r="K28" s="53"/>
      <c r="L28" s="54"/>
      <c r="M28" s="53"/>
      <c r="N28" s="53"/>
      <c r="O28" s="54"/>
      <c r="P28" s="55">
        <f t="shared" si="0"/>
        <v>0</v>
      </c>
      <c r="Q28" s="55">
        <f>P28+'11'!Q28</f>
        <v>7.2942999999999998</v>
      </c>
      <c r="R28" s="97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>
      <c r="A29" s="113">
        <v>104</v>
      </c>
      <c r="B29" s="114"/>
      <c r="C29" s="119" t="s">
        <v>100</v>
      </c>
      <c r="D29" s="120"/>
      <c r="E29" s="121"/>
      <c r="F29" s="56"/>
      <c r="G29" s="60"/>
      <c r="H29" s="58"/>
      <c r="I29" s="59"/>
      <c r="J29" s="60">
        <v>12.666</v>
      </c>
      <c r="K29" s="58"/>
      <c r="L29" s="49" t="s">
        <v>55</v>
      </c>
      <c r="M29" s="60">
        <v>0</v>
      </c>
      <c r="N29" s="58"/>
      <c r="O29" s="49" t="s">
        <v>55</v>
      </c>
      <c r="P29" s="61">
        <f t="shared" si="0"/>
        <v>12.666</v>
      </c>
      <c r="Q29" s="61">
        <f>P29+'11'!Q29</f>
        <v>111.60500000000002</v>
      </c>
      <c r="R29" s="102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>
      <c r="A30" s="115"/>
      <c r="B30" s="116"/>
      <c r="C30" s="122" t="s">
        <v>102</v>
      </c>
      <c r="D30" s="123"/>
      <c r="E30" s="124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50">
        <f t="shared" si="0"/>
        <v>0</v>
      </c>
      <c r="Q30" s="50">
        <f>P30+'11'!Q30</f>
        <v>0</v>
      </c>
      <c r="R30" s="99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>
      <c r="A31" s="115"/>
      <c r="B31" s="116"/>
      <c r="C31" s="122" t="s">
        <v>101</v>
      </c>
      <c r="D31" s="123"/>
      <c r="E31" s="124"/>
      <c r="F31" s="47"/>
      <c r="G31" s="48"/>
      <c r="H31" s="48"/>
      <c r="I31" s="49"/>
      <c r="J31" s="48">
        <v>2.4689999999999999</v>
      </c>
      <c r="K31" s="48"/>
      <c r="L31" s="49" t="s">
        <v>58</v>
      </c>
      <c r="M31" s="48">
        <v>0</v>
      </c>
      <c r="N31" s="48"/>
      <c r="O31" s="49" t="s">
        <v>58</v>
      </c>
      <c r="P31" s="50">
        <f t="shared" si="0"/>
        <v>2.4689999999999999</v>
      </c>
      <c r="Q31" s="50">
        <f>P31+'11'!Q31</f>
        <v>22.201000000000001</v>
      </c>
      <c r="R31" s="99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>
      <c r="A32" s="115"/>
      <c r="B32" s="116"/>
      <c r="C32" s="122" t="s">
        <v>103</v>
      </c>
      <c r="D32" s="123"/>
      <c r="E32" s="124"/>
      <c r="F32" s="47"/>
      <c r="G32" s="48">
        <v>5.75</v>
      </c>
      <c r="H32" s="48"/>
      <c r="I32" s="49" t="s">
        <v>60</v>
      </c>
      <c r="J32" s="48">
        <v>4.915</v>
      </c>
      <c r="K32" s="48"/>
      <c r="L32" s="49" t="s">
        <v>60</v>
      </c>
      <c r="M32" s="49">
        <v>0</v>
      </c>
      <c r="N32" s="48"/>
      <c r="O32" s="49" t="s">
        <v>60</v>
      </c>
      <c r="P32" s="50">
        <f t="shared" si="0"/>
        <v>10.664999999999999</v>
      </c>
      <c r="Q32" s="50">
        <f>P32+'11'!Q32</f>
        <v>112.77600000000001</v>
      </c>
      <c r="R32" s="99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>
      <c r="A33" s="117"/>
      <c r="B33" s="118"/>
      <c r="C33" s="125" t="s">
        <v>104</v>
      </c>
      <c r="D33" s="126"/>
      <c r="E33" s="127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72">
        <f>G33+J33+M33</f>
        <v>0</v>
      </c>
      <c r="Q33" s="72">
        <f>P33+'11'!Q33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/>
    <row r="35" spans="1:26" ht="14.1" customHeight="1"/>
    <row r="36" spans="1:26" ht="14.1" customHeight="1"/>
    <row r="37" spans="1:26" ht="14.1" customHeight="1"/>
    <row r="38" spans="1:26" ht="14.1" customHeight="1"/>
    <row r="39" spans="1:26" ht="14.1" customHeight="1"/>
    <row r="40" spans="1:26" ht="14.1" customHeight="1"/>
    <row r="41" spans="1:26" ht="14.1" customHeight="1"/>
    <row r="42" spans="1:26" ht="14.1" customHeight="1"/>
    <row r="43" spans="1:26" ht="14.1" customHeight="1"/>
    <row r="44" spans="1:26" ht="14.1" customHeight="1"/>
    <row r="45" spans="1:26" ht="14.1" customHeight="1"/>
    <row r="46" spans="1:26" ht="14.1" customHeight="1"/>
    <row r="47" spans="1:26" ht="14.1" customHeight="1"/>
    <row r="48" spans="1:26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  <row r="58" ht="14.1" customHeight="1"/>
    <row r="59" ht="14.1" customHeight="1"/>
    <row r="60" ht="14.1" customHeight="1"/>
    <row r="61" ht="14.1" customHeight="1"/>
    <row r="62" ht="14.1" customHeight="1"/>
    <row r="63" ht="14.1" customHeight="1"/>
    <row r="64" ht="14.1" customHeight="1"/>
    <row r="65" ht="14.1" customHeight="1"/>
    <row r="66" ht="14.1" customHeight="1"/>
    <row r="67" ht="14.1" customHeight="1"/>
    <row r="68" ht="15" customHeight="1"/>
    <row r="69" ht="12.95" customHeight="1"/>
    <row r="70" ht="14.1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4.1" customHeight="1"/>
    <row r="122" ht="14.1" customHeight="1"/>
    <row r="123" ht="14.1" customHeight="1"/>
    <row r="124" ht="14.1" customHeight="1"/>
    <row r="125" ht="14.1" customHeight="1"/>
    <row r="126" ht="10.5" customHeight="1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59D1DB5D-543D-4A6F-AA00-E81C26810F6F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209550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209550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209550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D4188-6F2C-4D50-A1AB-B3348474DA4C}">
  <sheetPr codeName="Sheet16"/>
  <dimension ref="A1:Z126"/>
  <sheetViews>
    <sheetView showGridLines="0" zoomScale="85" zoomScaleNormal="85" zoomScaleSheetLayoutView="113" workbookViewId="0">
      <selection activeCell="A11" sqref="A11:E33"/>
    </sheetView>
  </sheetViews>
  <sheetFormatPr defaultColWidth="10.140625" defaultRowHeight="1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7.8554687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8" width="8.42578125" customWidth="1"/>
    <col min="27" max="16384" width="10.140625" style="9"/>
  </cols>
  <sheetData>
    <row r="1" spans="1:26" ht="15" customHeight="1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>
      <c r="A2" s="10"/>
      <c r="B2" s="10"/>
      <c r="C2" s="10"/>
      <c r="D2" s="10"/>
      <c r="E2" s="10"/>
      <c r="F2" s="10"/>
      <c r="G2" s="173"/>
      <c r="H2" s="173"/>
      <c r="I2" s="173"/>
      <c r="J2" s="173"/>
      <c r="K2" s="173"/>
      <c r="L2" s="173"/>
      <c r="M2" s="10"/>
      <c r="N2" s="11"/>
      <c r="O2" s="174"/>
      <c r="P2" s="174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>
      <c r="A3" s="10"/>
      <c r="B3" s="10"/>
      <c r="C3" s="10"/>
      <c r="D3" s="10"/>
      <c r="E3" s="10"/>
      <c r="F3" s="10"/>
      <c r="G3" s="173"/>
      <c r="H3" s="173"/>
      <c r="I3" s="173"/>
      <c r="J3" s="173"/>
      <c r="K3" s="173"/>
      <c r="L3" s="173"/>
      <c r="M3" s="10"/>
      <c r="N3" s="11"/>
      <c r="O3" s="174"/>
      <c r="P3" s="174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>
      <c r="A4" s="10"/>
      <c r="B4" s="10"/>
      <c r="C4" s="10"/>
      <c r="D4" s="10"/>
      <c r="E4" s="10"/>
      <c r="F4" s="10"/>
      <c r="G4" s="173"/>
      <c r="H4" s="173"/>
      <c r="I4" s="173"/>
      <c r="J4" s="173"/>
      <c r="K4" s="173"/>
      <c r="L4" s="173"/>
      <c r="M4" s="10"/>
      <c r="N4" s="11"/>
      <c r="O4" s="174"/>
      <c r="P4" s="174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>
      <c r="A5" s="169" t="s">
        <v>8</v>
      </c>
      <c r="B5" s="169"/>
      <c r="C5" s="16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>
      <c r="A6" s="169" t="s">
        <v>10</v>
      </c>
      <c r="B6" s="169"/>
      <c r="C6" s="169"/>
      <c r="D6" s="179">
        <f>'12'!D6+1</f>
        <v>46066</v>
      </c>
      <c r="E6" s="179"/>
      <c r="F6" s="28"/>
      <c r="G6" s="171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>
      <c r="A8" s="175" t="s">
        <v>11</v>
      </c>
      <c r="B8" s="175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9"/>
      <c r="T8" s="9"/>
      <c r="U8" s="9"/>
      <c r="V8" s="9"/>
      <c r="W8" s="9"/>
      <c r="X8" s="9"/>
      <c r="Y8" s="9"/>
      <c r="Z8" s="9"/>
    </row>
    <row r="9" spans="1:26" ht="24.95" customHeight="1">
      <c r="A9" s="158" t="s">
        <v>12</v>
      </c>
      <c r="B9" s="159"/>
      <c r="C9" s="162" t="s">
        <v>13</v>
      </c>
      <c r="D9" s="162"/>
      <c r="E9" s="163"/>
      <c r="F9" s="20" t="s">
        <v>14</v>
      </c>
      <c r="G9" s="166" t="s">
        <v>15</v>
      </c>
      <c r="H9" s="167"/>
      <c r="I9" s="21" t="s">
        <v>16</v>
      </c>
      <c r="J9" s="166" t="s">
        <v>17</v>
      </c>
      <c r="K9" s="167"/>
      <c r="L9" s="21" t="s">
        <v>16</v>
      </c>
      <c r="M9" s="166" t="s">
        <v>18</v>
      </c>
      <c r="N9" s="167"/>
      <c r="O9" s="22" t="s">
        <v>16</v>
      </c>
      <c r="P9" s="167" t="s">
        <v>19</v>
      </c>
      <c r="Q9" s="167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>
      <c r="A10" s="160"/>
      <c r="B10" s="161"/>
      <c r="C10" s="164"/>
      <c r="D10" s="164"/>
      <c r="E10" s="165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68"/>
      <c r="Q10" s="168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>
      <c r="A11" s="137">
        <v>101</v>
      </c>
      <c r="B11" s="138"/>
      <c r="C11" s="139" t="s">
        <v>83</v>
      </c>
      <c r="D11" s="139"/>
      <c r="E11" s="140"/>
      <c r="F11" s="41">
        <v>60</v>
      </c>
      <c r="G11" s="42">
        <v>18.600000000000001</v>
      </c>
      <c r="H11" s="43"/>
      <c r="I11" s="44" t="s">
        <v>67</v>
      </c>
      <c r="J11" s="42">
        <v>22.6</v>
      </c>
      <c r="K11" s="43"/>
      <c r="L11" s="44" t="s">
        <v>67</v>
      </c>
      <c r="M11" s="42">
        <v>20</v>
      </c>
      <c r="N11" s="43"/>
      <c r="O11" s="44" t="s">
        <v>67</v>
      </c>
      <c r="P11" s="45">
        <f>G11+J11+M11</f>
        <v>61.2</v>
      </c>
      <c r="Q11" s="108">
        <f>P11+'12'!Q11</f>
        <v>602.5</v>
      </c>
      <c r="R11" s="97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>
      <c r="A12" s="135"/>
      <c r="B12" s="136"/>
      <c r="C12" s="141" t="s">
        <v>84</v>
      </c>
      <c r="D12" s="141"/>
      <c r="E12" s="142"/>
      <c r="F12" s="47">
        <v>30</v>
      </c>
      <c r="G12" s="48">
        <v>9.6999999999999993</v>
      </c>
      <c r="H12" s="48"/>
      <c r="I12" s="49" t="s">
        <v>69</v>
      </c>
      <c r="J12" s="48">
        <v>9.9</v>
      </c>
      <c r="K12" s="48"/>
      <c r="L12" s="49" t="s">
        <v>69</v>
      </c>
      <c r="M12" s="48">
        <v>14.1</v>
      </c>
      <c r="N12" s="48"/>
      <c r="O12" s="49" t="s">
        <v>69</v>
      </c>
      <c r="P12" s="50">
        <f t="shared" ref="P12:P32" si="0">G12+J12+M12</f>
        <v>33.700000000000003</v>
      </c>
      <c r="Q12" s="109">
        <f>P12+'12'!Q12</f>
        <v>316.90000000000003</v>
      </c>
      <c r="R12" s="99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>
      <c r="A13" s="130"/>
      <c r="B13" s="131"/>
      <c r="C13" s="143" t="s">
        <v>85</v>
      </c>
      <c r="D13" s="143"/>
      <c r="E13" s="144"/>
      <c r="F13" s="52">
        <v>30</v>
      </c>
      <c r="G13" s="53">
        <v>7.2</v>
      </c>
      <c r="H13" s="53"/>
      <c r="I13" s="54" t="s">
        <v>70</v>
      </c>
      <c r="J13" s="53">
        <v>13.7</v>
      </c>
      <c r="K13" s="53"/>
      <c r="L13" s="54" t="s">
        <v>70</v>
      </c>
      <c r="M13" s="53">
        <v>9.3000000000000007</v>
      </c>
      <c r="N13" s="53"/>
      <c r="O13" s="54" t="s">
        <v>70</v>
      </c>
      <c r="P13" s="55">
        <f t="shared" si="0"/>
        <v>30.2</v>
      </c>
      <c r="Q13" s="55">
        <f>P13+'12'!Q13</f>
        <v>249.5</v>
      </c>
      <c r="R13" s="99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>
      <c r="A14" s="128">
        <v>102</v>
      </c>
      <c r="B14" s="145"/>
      <c r="C14" s="148" t="s">
        <v>86</v>
      </c>
      <c r="D14" s="149"/>
      <c r="E14" s="150"/>
      <c r="F14" s="56">
        <v>40</v>
      </c>
      <c r="G14" s="57"/>
      <c r="H14" s="58"/>
      <c r="I14" s="59"/>
      <c r="J14" s="60"/>
      <c r="K14" s="58"/>
      <c r="L14" s="59"/>
      <c r="M14" s="60"/>
      <c r="N14" s="58"/>
      <c r="O14" s="59"/>
      <c r="P14" s="61">
        <f t="shared" si="0"/>
        <v>0</v>
      </c>
      <c r="Q14" s="110">
        <f>P14+'12'!Q14</f>
        <v>158.89400000000001</v>
      </c>
      <c r="R14" s="102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>
      <c r="A15" s="146"/>
      <c r="B15" s="147"/>
      <c r="C15" s="151" t="s">
        <v>87</v>
      </c>
      <c r="D15" s="152"/>
      <c r="E15" s="153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50">
        <f t="shared" si="0"/>
        <v>0</v>
      </c>
      <c r="Q15" s="109">
        <f>P15+'12'!Q15</f>
        <v>0</v>
      </c>
      <c r="R15" s="97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>
      <c r="A16" s="146"/>
      <c r="B16" s="147"/>
      <c r="C16" s="154" t="s">
        <v>88</v>
      </c>
      <c r="D16" s="155"/>
      <c r="E16" s="156"/>
      <c r="F16" s="47">
        <f>F14*(2/100)</f>
        <v>0.8</v>
      </c>
      <c r="G16" s="48"/>
      <c r="H16" s="48"/>
      <c r="I16" s="49"/>
      <c r="J16" s="48"/>
      <c r="K16" s="48"/>
      <c r="L16" s="49"/>
      <c r="M16" s="48"/>
      <c r="N16" s="48"/>
      <c r="O16" s="49"/>
      <c r="P16" s="50">
        <f t="shared" si="0"/>
        <v>0</v>
      </c>
      <c r="Q16" s="109">
        <f>P16+'12'!Q16</f>
        <v>12.878699999999998</v>
      </c>
      <c r="R16" s="99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>
      <c r="A17" s="146"/>
      <c r="B17" s="147"/>
      <c r="C17" s="122" t="s">
        <v>89</v>
      </c>
      <c r="D17" s="123"/>
      <c r="E17" s="124"/>
      <c r="F17" s="47">
        <f>F14*12/100</f>
        <v>4.8</v>
      </c>
      <c r="G17" s="48"/>
      <c r="H17" s="48"/>
      <c r="I17" s="49"/>
      <c r="J17" s="48"/>
      <c r="K17" s="48"/>
      <c r="L17" s="49"/>
      <c r="M17" s="48"/>
      <c r="N17" s="48"/>
      <c r="O17" s="49"/>
      <c r="P17" s="50">
        <f t="shared" si="0"/>
        <v>0</v>
      </c>
      <c r="Q17" s="109">
        <f>P17+'12'!Q17</f>
        <v>0.22700000000000001</v>
      </c>
      <c r="R17" s="99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>
      <c r="A18" s="146"/>
      <c r="B18" s="147"/>
      <c r="C18" s="122" t="s">
        <v>90</v>
      </c>
      <c r="D18" s="123"/>
      <c r="E18" s="124"/>
      <c r="F18" s="47" t="s">
        <v>35</v>
      </c>
      <c r="G18" s="48"/>
      <c r="H18" s="48"/>
      <c r="I18" s="49"/>
      <c r="J18" s="48"/>
      <c r="K18" s="48"/>
      <c r="L18" s="49"/>
      <c r="M18" s="48"/>
      <c r="N18" s="48"/>
      <c r="O18" s="49"/>
      <c r="P18" s="50">
        <f t="shared" si="0"/>
        <v>0</v>
      </c>
      <c r="Q18" s="109">
        <f>P18+'12'!Q18</f>
        <v>102.732</v>
      </c>
      <c r="R18" s="99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>
      <c r="A19" s="146"/>
      <c r="B19" s="147"/>
      <c r="C19" s="122" t="s">
        <v>91</v>
      </c>
      <c r="D19" s="123"/>
      <c r="E19" s="124"/>
      <c r="F19" s="47" t="s">
        <v>35</v>
      </c>
      <c r="G19" s="48"/>
      <c r="H19" s="48"/>
      <c r="I19" s="49"/>
      <c r="J19" s="48"/>
      <c r="K19" s="48"/>
      <c r="L19" s="49"/>
      <c r="M19" s="48"/>
      <c r="N19" s="48"/>
      <c r="O19" s="49"/>
      <c r="P19" s="50">
        <f t="shared" si="0"/>
        <v>0</v>
      </c>
      <c r="Q19" s="109">
        <f>P19+'12'!Q19</f>
        <v>34.469000000000001</v>
      </c>
      <c r="R19" s="99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>
      <c r="A20" s="146"/>
      <c r="B20" s="147"/>
      <c r="C20" s="122" t="s">
        <v>92</v>
      </c>
      <c r="D20" s="123"/>
      <c r="E20" s="124"/>
      <c r="F20" s="63" t="s">
        <v>35</v>
      </c>
      <c r="G20" s="48"/>
      <c r="H20" s="48"/>
      <c r="I20" s="49"/>
      <c r="J20" s="48"/>
      <c r="K20" s="48"/>
      <c r="L20" s="49"/>
      <c r="M20" s="48"/>
      <c r="N20" s="48"/>
      <c r="O20" s="49"/>
      <c r="P20" s="50">
        <f t="shared" si="0"/>
        <v>0</v>
      </c>
      <c r="Q20" s="109">
        <f>P20+'12'!Q20</f>
        <v>0.80600000000000005</v>
      </c>
      <c r="R20" s="99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>
      <c r="A21" s="130"/>
      <c r="B21" s="131"/>
      <c r="C21" s="132" t="s">
        <v>93</v>
      </c>
      <c r="D21" s="133"/>
      <c r="E21" s="134"/>
      <c r="F21" s="52">
        <f>F14*(0.5/100)</f>
        <v>0.2</v>
      </c>
      <c r="G21" s="53"/>
      <c r="H21" s="53"/>
      <c r="I21" s="54"/>
      <c r="J21" s="53"/>
      <c r="K21" s="53"/>
      <c r="L21" s="54"/>
      <c r="M21" s="53"/>
      <c r="N21" s="53"/>
      <c r="O21" s="54"/>
      <c r="P21" s="55">
        <f t="shared" si="0"/>
        <v>0</v>
      </c>
      <c r="Q21" s="55">
        <f>P21+'12'!Q21</f>
        <v>7.8379000000000003</v>
      </c>
      <c r="R21" s="99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>
      <c r="A22" s="128" t="s">
        <v>105</v>
      </c>
      <c r="B22" s="129"/>
      <c r="C22" s="119" t="s">
        <v>94</v>
      </c>
      <c r="D22" s="120"/>
      <c r="E22" s="121"/>
      <c r="F22" s="56">
        <v>24</v>
      </c>
      <c r="G22" s="60"/>
      <c r="H22" s="58"/>
      <c r="I22" s="65"/>
      <c r="J22" s="60"/>
      <c r="K22" s="58"/>
      <c r="L22" s="65"/>
      <c r="M22" s="60"/>
      <c r="N22" s="58"/>
      <c r="O22" s="65"/>
      <c r="P22" s="61">
        <f t="shared" si="0"/>
        <v>0</v>
      </c>
      <c r="Q22" s="110">
        <f>P22+'12'!Q22</f>
        <v>79.344999999999999</v>
      </c>
      <c r="R22" s="102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>
      <c r="A23" s="130"/>
      <c r="B23" s="131"/>
      <c r="C23" s="132" t="s">
        <v>95</v>
      </c>
      <c r="D23" s="133"/>
      <c r="E23" s="134"/>
      <c r="F23" s="52">
        <v>24</v>
      </c>
      <c r="G23" s="53"/>
      <c r="H23" s="53"/>
      <c r="I23" s="66"/>
      <c r="J23" s="53"/>
      <c r="K23" s="53"/>
      <c r="L23" s="66"/>
      <c r="M23" s="53"/>
      <c r="N23" s="53"/>
      <c r="O23" s="66"/>
      <c r="P23" s="55">
        <f t="shared" si="0"/>
        <v>0</v>
      </c>
      <c r="Q23" s="55">
        <f>P23+'12'!Q23</f>
        <v>81.665000000000006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>
      <c r="A24" s="128" t="s">
        <v>106</v>
      </c>
      <c r="B24" s="129"/>
      <c r="C24" s="119" t="s">
        <v>96</v>
      </c>
      <c r="D24" s="120"/>
      <c r="E24" s="121"/>
      <c r="F24" s="56">
        <v>24</v>
      </c>
      <c r="G24" s="60"/>
      <c r="H24" s="58"/>
      <c r="I24" s="59"/>
      <c r="J24" s="60"/>
      <c r="K24" s="58"/>
      <c r="L24" s="59"/>
      <c r="M24" s="60"/>
      <c r="N24" s="58"/>
      <c r="O24" s="59"/>
      <c r="P24" s="61">
        <f t="shared" si="0"/>
        <v>0</v>
      </c>
      <c r="Q24" s="110">
        <f>P24+'12'!Q24</f>
        <v>143.72499999999999</v>
      </c>
      <c r="R24" s="97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>
      <c r="A25" s="135"/>
      <c r="B25" s="136"/>
      <c r="C25" s="122" t="s">
        <v>46</v>
      </c>
      <c r="D25" s="123"/>
      <c r="E25" s="124"/>
      <c r="F25" s="47" t="s">
        <v>35</v>
      </c>
      <c r="G25" s="48"/>
      <c r="H25" s="48"/>
      <c r="I25" s="49"/>
      <c r="J25" s="48"/>
      <c r="K25" s="48"/>
      <c r="L25" s="49"/>
      <c r="M25" s="48"/>
      <c r="N25" s="48"/>
      <c r="O25" s="49"/>
      <c r="P25" s="50">
        <f t="shared" si="0"/>
        <v>0</v>
      </c>
      <c r="Q25" s="109">
        <f>P25+'12'!Q25</f>
        <v>4.3583999999999996</v>
      </c>
      <c r="R25" s="99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>
      <c r="A26" s="135"/>
      <c r="B26" s="136"/>
      <c r="C26" s="122" t="s">
        <v>97</v>
      </c>
      <c r="D26" s="123"/>
      <c r="E26" s="124"/>
      <c r="F26" s="47" t="s">
        <v>35</v>
      </c>
      <c r="G26" s="48"/>
      <c r="H26" s="48"/>
      <c r="I26" s="49"/>
      <c r="J26" s="48"/>
      <c r="K26" s="48"/>
      <c r="L26" s="49"/>
      <c r="M26" s="48"/>
      <c r="N26" s="48"/>
      <c r="O26" s="49"/>
      <c r="P26" s="50">
        <f t="shared" si="0"/>
        <v>0</v>
      </c>
      <c r="Q26" s="109">
        <f>P26+'12'!Q26</f>
        <v>133.04400000000001</v>
      </c>
      <c r="R26" s="99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>
      <c r="A27" s="135"/>
      <c r="B27" s="136"/>
      <c r="C27" s="122" t="s">
        <v>98</v>
      </c>
      <c r="D27" s="123"/>
      <c r="E27" s="124"/>
      <c r="F27" s="47" t="s">
        <v>35</v>
      </c>
      <c r="G27" s="48"/>
      <c r="H27" s="48"/>
      <c r="I27" s="49"/>
      <c r="J27" s="48"/>
      <c r="K27" s="48"/>
      <c r="L27" s="49"/>
      <c r="M27" s="48"/>
      <c r="N27" s="48"/>
      <c r="O27" s="49"/>
      <c r="P27" s="50">
        <f t="shared" si="0"/>
        <v>0</v>
      </c>
      <c r="Q27" s="109">
        <f>P27+'12'!Q27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>
      <c r="A28" s="130"/>
      <c r="B28" s="131"/>
      <c r="C28" s="132" t="s">
        <v>99</v>
      </c>
      <c r="D28" s="133"/>
      <c r="E28" s="134"/>
      <c r="F28" s="52" t="s">
        <v>35</v>
      </c>
      <c r="G28" s="53"/>
      <c r="H28" s="53"/>
      <c r="I28" s="54"/>
      <c r="J28" s="53"/>
      <c r="K28" s="53"/>
      <c r="L28" s="54"/>
      <c r="M28" s="53"/>
      <c r="N28" s="53"/>
      <c r="O28" s="54"/>
      <c r="P28" s="55">
        <f t="shared" si="0"/>
        <v>0</v>
      </c>
      <c r="Q28" s="55">
        <f>P28+'12'!Q28</f>
        <v>7.2942999999999998</v>
      </c>
      <c r="R28" s="97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>
      <c r="A29" s="113">
        <v>104</v>
      </c>
      <c r="B29" s="114"/>
      <c r="C29" s="119" t="s">
        <v>100</v>
      </c>
      <c r="D29" s="120"/>
      <c r="E29" s="121"/>
      <c r="F29" s="56"/>
      <c r="G29" s="60"/>
      <c r="H29" s="58"/>
      <c r="I29" s="59"/>
      <c r="J29" s="60"/>
      <c r="K29" s="58"/>
      <c r="L29" s="59"/>
      <c r="M29" s="60"/>
      <c r="N29" s="58"/>
      <c r="O29" s="59"/>
      <c r="P29" s="61">
        <f t="shared" si="0"/>
        <v>0</v>
      </c>
      <c r="Q29" s="110">
        <f>P29+'12'!Q29</f>
        <v>111.60500000000002</v>
      </c>
      <c r="R29" s="102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>
      <c r="A30" s="115"/>
      <c r="B30" s="116"/>
      <c r="C30" s="122" t="s">
        <v>102</v>
      </c>
      <c r="D30" s="123"/>
      <c r="E30" s="124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50">
        <f t="shared" si="0"/>
        <v>0</v>
      </c>
      <c r="Q30" s="109">
        <f>P30+'12'!Q30</f>
        <v>0</v>
      </c>
      <c r="R30" s="99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>
      <c r="A31" s="115"/>
      <c r="B31" s="116"/>
      <c r="C31" s="122" t="s">
        <v>101</v>
      </c>
      <c r="D31" s="123"/>
      <c r="E31" s="124"/>
      <c r="F31" s="47"/>
      <c r="G31" s="48"/>
      <c r="H31" s="48"/>
      <c r="I31" s="49"/>
      <c r="J31" s="48"/>
      <c r="K31" s="48"/>
      <c r="L31" s="49"/>
      <c r="M31" s="48"/>
      <c r="N31" s="48"/>
      <c r="O31" s="49"/>
      <c r="P31" s="50">
        <f t="shared" si="0"/>
        <v>0</v>
      </c>
      <c r="Q31" s="109">
        <f>P31+'12'!Q31</f>
        <v>22.201000000000001</v>
      </c>
      <c r="R31" s="99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>
      <c r="A32" s="115"/>
      <c r="B32" s="116"/>
      <c r="C32" s="122" t="s">
        <v>103</v>
      </c>
      <c r="D32" s="123"/>
      <c r="E32" s="124"/>
      <c r="F32" s="47"/>
      <c r="G32" s="48">
        <v>0</v>
      </c>
      <c r="H32" s="48"/>
      <c r="I32" s="49" t="s">
        <v>60</v>
      </c>
      <c r="J32" s="49">
        <v>8.8000000000000007</v>
      </c>
      <c r="K32" s="48"/>
      <c r="L32" s="49" t="s">
        <v>60</v>
      </c>
      <c r="M32" s="49">
        <v>4.1639999999999997</v>
      </c>
      <c r="N32" s="48"/>
      <c r="O32" s="49" t="s">
        <v>60</v>
      </c>
      <c r="P32" s="50">
        <f t="shared" si="0"/>
        <v>12.964</v>
      </c>
      <c r="Q32" s="109">
        <f>P32+'12'!Q32</f>
        <v>125.74000000000001</v>
      </c>
      <c r="R32" s="99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>
      <c r="A33" s="117"/>
      <c r="B33" s="118"/>
      <c r="C33" s="125" t="s">
        <v>104</v>
      </c>
      <c r="D33" s="126"/>
      <c r="E33" s="127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72">
        <f>G33+J33+M33</f>
        <v>0</v>
      </c>
      <c r="Q33" s="111">
        <f>P33+'12'!Q33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/>
    <row r="35" spans="1:26" ht="14.1" customHeight="1"/>
    <row r="36" spans="1:26" ht="14.1" customHeight="1"/>
    <row r="37" spans="1:26" ht="14.1" customHeight="1"/>
    <row r="38" spans="1:26" ht="14.1" customHeight="1"/>
    <row r="39" spans="1:26" ht="14.1" customHeight="1"/>
    <row r="40" spans="1:26" ht="14.1" customHeight="1"/>
    <row r="41" spans="1:26" ht="14.1" customHeight="1"/>
    <row r="42" spans="1:26" ht="14.1" customHeight="1"/>
    <row r="43" spans="1:26" ht="14.1" customHeight="1"/>
    <row r="44" spans="1:26" ht="14.1" customHeight="1"/>
    <row r="45" spans="1:26" ht="14.1" customHeight="1"/>
    <row r="46" spans="1:26" ht="14.1" customHeight="1"/>
    <row r="47" spans="1:26" ht="14.1" customHeight="1"/>
    <row r="48" spans="1:26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  <row r="58" ht="14.1" customHeight="1"/>
    <row r="59" ht="14.1" customHeight="1"/>
    <row r="60" ht="14.1" customHeight="1"/>
    <row r="61" ht="14.1" customHeight="1"/>
    <row r="62" ht="14.1" customHeight="1"/>
    <row r="63" ht="14.1" customHeight="1"/>
    <row r="64" ht="14.1" customHeight="1"/>
    <row r="65" ht="14.1" customHeight="1"/>
    <row r="66" ht="14.1" customHeight="1"/>
    <row r="67" ht="14.1" customHeight="1"/>
    <row r="68" ht="15" customHeight="1"/>
    <row r="69" ht="12.95" customHeight="1"/>
    <row r="70" ht="14.1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4.1" customHeight="1"/>
    <row r="122" ht="14.1" customHeight="1"/>
    <row r="123" ht="14.1" customHeight="1"/>
    <row r="124" ht="14.1" customHeight="1"/>
    <row r="125" ht="14.1" customHeight="1"/>
    <row r="126" ht="10.5" customHeight="1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E2E5BF45-47AA-47D3-A29A-197B516E010F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8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9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0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2D781-12FE-4A30-B867-1D3A9CC72C7D}">
  <sheetPr codeName="Sheet17"/>
  <dimension ref="A1:Z126"/>
  <sheetViews>
    <sheetView showGridLines="0" zoomScale="85" zoomScaleNormal="85" zoomScaleSheetLayoutView="113" workbookViewId="0">
      <selection activeCell="A11" sqref="A11:E33"/>
    </sheetView>
  </sheetViews>
  <sheetFormatPr defaultColWidth="10.140625" defaultRowHeight="1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7.8554687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8" width="8.42578125" customWidth="1"/>
    <col min="27" max="16384" width="10.140625" style="9"/>
  </cols>
  <sheetData>
    <row r="1" spans="1:26" ht="15" customHeight="1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>
      <c r="A2" s="10"/>
      <c r="B2" s="10"/>
      <c r="C2" s="10"/>
      <c r="D2" s="10"/>
      <c r="E2" s="10"/>
      <c r="F2" s="10"/>
      <c r="G2" s="173"/>
      <c r="H2" s="173"/>
      <c r="I2" s="173"/>
      <c r="J2" s="173"/>
      <c r="K2" s="173"/>
      <c r="L2" s="173"/>
      <c r="M2" s="10"/>
      <c r="N2" s="11"/>
      <c r="O2" s="174"/>
      <c r="P2" s="174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>
      <c r="A3" s="10"/>
      <c r="B3" s="10"/>
      <c r="C3" s="10"/>
      <c r="D3" s="10"/>
      <c r="E3" s="10"/>
      <c r="F3" s="10"/>
      <c r="G3" s="173"/>
      <c r="H3" s="173"/>
      <c r="I3" s="173"/>
      <c r="J3" s="173"/>
      <c r="K3" s="173"/>
      <c r="L3" s="173"/>
      <c r="M3" s="10"/>
      <c r="N3" s="11"/>
      <c r="O3" s="174"/>
      <c r="P3" s="174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>
      <c r="A4" s="10"/>
      <c r="B4" s="10"/>
      <c r="C4" s="10"/>
      <c r="D4" s="10"/>
      <c r="E4" s="10"/>
      <c r="F4" s="10"/>
      <c r="G4" s="173"/>
      <c r="H4" s="173"/>
      <c r="I4" s="173"/>
      <c r="J4" s="173"/>
      <c r="K4" s="173"/>
      <c r="L4" s="173"/>
      <c r="M4" s="10"/>
      <c r="N4" s="11"/>
      <c r="O4" s="174"/>
      <c r="P4" s="174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>
      <c r="A5" s="169" t="s">
        <v>8</v>
      </c>
      <c r="B5" s="169"/>
      <c r="C5" s="16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>
      <c r="A6" s="169" t="s">
        <v>10</v>
      </c>
      <c r="B6" s="169"/>
      <c r="C6" s="169"/>
      <c r="D6" s="179">
        <f>'13'!D6+1</f>
        <v>46067</v>
      </c>
      <c r="E6" s="179"/>
      <c r="F6" s="28"/>
      <c r="G6" s="171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>
      <c r="A8" s="175" t="s">
        <v>11</v>
      </c>
      <c r="B8" s="175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9"/>
      <c r="T8" s="9"/>
      <c r="U8" s="9"/>
      <c r="V8" s="9"/>
      <c r="W8" s="9"/>
      <c r="X8" s="9"/>
      <c r="Y8" s="9"/>
      <c r="Z8" s="9"/>
    </row>
    <row r="9" spans="1:26" ht="24.95" customHeight="1">
      <c r="A9" s="158" t="s">
        <v>12</v>
      </c>
      <c r="B9" s="159"/>
      <c r="C9" s="162" t="s">
        <v>13</v>
      </c>
      <c r="D9" s="162"/>
      <c r="E9" s="163"/>
      <c r="F9" s="20" t="s">
        <v>14</v>
      </c>
      <c r="G9" s="166" t="s">
        <v>15</v>
      </c>
      <c r="H9" s="167"/>
      <c r="I9" s="21" t="s">
        <v>16</v>
      </c>
      <c r="J9" s="166" t="s">
        <v>17</v>
      </c>
      <c r="K9" s="167"/>
      <c r="L9" s="21" t="s">
        <v>16</v>
      </c>
      <c r="M9" s="166" t="s">
        <v>18</v>
      </c>
      <c r="N9" s="167"/>
      <c r="O9" s="22" t="s">
        <v>16</v>
      </c>
      <c r="P9" s="167" t="s">
        <v>19</v>
      </c>
      <c r="Q9" s="167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>
      <c r="A10" s="160"/>
      <c r="B10" s="161"/>
      <c r="C10" s="164"/>
      <c r="D10" s="164"/>
      <c r="E10" s="165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68"/>
      <c r="Q10" s="168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>
      <c r="A11" s="137">
        <v>101</v>
      </c>
      <c r="B11" s="138"/>
      <c r="C11" s="139" t="s">
        <v>83</v>
      </c>
      <c r="D11" s="139"/>
      <c r="E11" s="140"/>
      <c r="F11" s="41">
        <v>60</v>
      </c>
      <c r="G11" s="42">
        <v>18.8</v>
      </c>
      <c r="H11" s="43"/>
      <c r="I11" s="44" t="s">
        <v>67</v>
      </c>
      <c r="J11" s="42">
        <v>23.6</v>
      </c>
      <c r="K11" s="43"/>
      <c r="L11" s="44" t="s">
        <v>67</v>
      </c>
      <c r="M11" s="42">
        <v>19.399999999999999</v>
      </c>
      <c r="N11" s="43"/>
      <c r="O11" s="44" t="s">
        <v>67</v>
      </c>
      <c r="P11" s="45">
        <f>G11+J11+M11</f>
        <v>61.800000000000004</v>
      </c>
      <c r="Q11" s="105">
        <f>P11+'13'!Q11</f>
        <v>664.3</v>
      </c>
      <c r="R11" s="97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>
      <c r="A12" s="135"/>
      <c r="B12" s="136"/>
      <c r="C12" s="141" t="s">
        <v>84</v>
      </c>
      <c r="D12" s="141"/>
      <c r="E12" s="142"/>
      <c r="F12" s="47">
        <v>30</v>
      </c>
      <c r="G12" s="48">
        <v>9.8000000000000007</v>
      </c>
      <c r="H12" s="48"/>
      <c r="I12" s="49" t="s">
        <v>69</v>
      </c>
      <c r="J12" s="48">
        <v>9.3000000000000007</v>
      </c>
      <c r="K12" s="48"/>
      <c r="L12" s="49" t="s">
        <v>69</v>
      </c>
      <c r="M12" s="48">
        <v>13.1</v>
      </c>
      <c r="N12" s="48"/>
      <c r="O12" s="49" t="s">
        <v>69</v>
      </c>
      <c r="P12" s="50">
        <f t="shared" ref="P12:P32" si="0">G12+J12+M12</f>
        <v>32.200000000000003</v>
      </c>
      <c r="Q12" s="50">
        <f>P12+'13'!Q12</f>
        <v>349.1</v>
      </c>
      <c r="R12" s="99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>
      <c r="A13" s="130"/>
      <c r="B13" s="131"/>
      <c r="C13" s="143" t="s">
        <v>85</v>
      </c>
      <c r="D13" s="143"/>
      <c r="E13" s="144"/>
      <c r="F13" s="52">
        <v>30</v>
      </c>
      <c r="G13" s="53">
        <v>7.8</v>
      </c>
      <c r="H13" s="53"/>
      <c r="I13" s="54" t="s">
        <v>70</v>
      </c>
      <c r="J13" s="53">
        <v>11.9</v>
      </c>
      <c r="K13" s="53"/>
      <c r="L13" s="54" t="s">
        <v>70</v>
      </c>
      <c r="M13" s="53">
        <v>9.3000000000000007</v>
      </c>
      <c r="N13" s="53"/>
      <c r="O13" s="54" t="s">
        <v>70</v>
      </c>
      <c r="P13" s="55">
        <f t="shared" si="0"/>
        <v>29</v>
      </c>
      <c r="Q13" s="55">
        <f>P13+'13'!Q13</f>
        <v>278.5</v>
      </c>
      <c r="R13" s="99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>
      <c r="A14" s="128">
        <v>102</v>
      </c>
      <c r="B14" s="145"/>
      <c r="C14" s="148" t="s">
        <v>86</v>
      </c>
      <c r="D14" s="149"/>
      <c r="E14" s="150"/>
      <c r="F14" s="56">
        <v>40</v>
      </c>
      <c r="G14" s="57"/>
      <c r="H14" s="58"/>
      <c r="I14" s="59"/>
      <c r="J14" s="60"/>
      <c r="K14" s="58"/>
      <c r="L14" s="59"/>
      <c r="M14" s="60"/>
      <c r="N14" s="58"/>
      <c r="O14" s="59"/>
      <c r="P14" s="61">
        <f t="shared" si="0"/>
        <v>0</v>
      </c>
      <c r="Q14" s="61">
        <f>P14+'13'!Q14</f>
        <v>158.89400000000001</v>
      </c>
      <c r="R14" s="102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>
      <c r="A15" s="146"/>
      <c r="B15" s="147"/>
      <c r="C15" s="151" t="s">
        <v>87</v>
      </c>
      <c r="D15" s="152"/>
      <c r="E15" s="153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50">
        <f t="shared" si="0"/>
        <v>0</v>
      </c>
      <c r="Q15" s="50">
        <f>P15+'13'!Q15</f>
        <v>0</v>
      </c>
      <c r="R15" s="97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>
      <c r="A16" s="146"/>
      <c r="B16" s="147"/>
      <c r="C16" s="154" t="s">
        <v>88</v>
      </c>
      <c r="D16" s="155"/>
      <c r="E16" s="156"/>
      <c r="F16" s="47">
        <f>F14*(2/100)</f>
        <v>0.8</v>
      </c>
      <c r="G16" s="48"/>
      <c r="H16" s="48"/>
      <c r="I16" s="49"/>
      <c r="J16" s="48"/>
      <c r="K16" s="48"/>
      <c r="L16" s="49"/>
      <c r="M16" s="48"/>
      <c r="N16" s="48"/>
      <c r="O16" s="49"/>
      <c r="P16" s="50">
        <f t="shared" si="0"/>
        <v>0</v>
      </c>
      <c r="Q16" s="50">
        <f>P16+'13'!Q16</f>
        <v>12.878699999999998</v>
      </c>
      <c r="R16" s="99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>
      <c r="A17" s="146"/>
      <c r="B17" s="147"/>
      <c r="C17" s="122" t="s">
        <v>89</v>
      </c>
      <c r="D17" s="123"/>
      <c r="E17" s="124"/>
      <c r="F17" s="47">
        <f>F14*12/100</f>
        <v>4.8</v>
      </c>
      <c r="G17" s="48"/>
      <c r="H17" s="48"/>
      <c r="I17" s="49"/>
      <c r="J17" s="48"/>
      <c r="K17" s="48"/>
      <c r="L17" s="49"/>
      <c r="M17" s="48"/>
      <c r="N17" s="48"/>
      <c r="O17" s="49"/>
      <c r="P17" s="50">
        <f t="shared" si="0"/>
        <v>0</v>
      </c>
      <c r="Q17" s="50">
        <f>P17+'13'!Q17</f>
        <v>0.22700000000000001</v>
      </c>
      <c r="R17" s="99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>
      <c r="A18" s="146"/>
      <c r="B18" s="147"/>
      <c r="C18" s="122" t="s">
        <v>90</v>
      </c>
      <c r="D18" s="123"/>
      <c r="E18" s="124"/>
      <c r="F18" s="47" t="s">
        <v>35</v>
      </c>
      <c r="G18" s="48"/>
      <c r="H18" s="48"/>
      <c r="I18" s="49"/>
      <c r="J18" s="48"/>
      <c r="K18" s="48"/>
      <c r="L18" s="49"/>
      <c r="M18" s="48"/>
      <c r="N18" s="48"/>
      <c r="O18" s="49"/>
      <c r="P18" s="50">
        <f t="shared" si="0"/>
        <v>0</v>
      </c>
      <c r="Q18" s="50">
        <f>P18+'13'!Q18</f>
        <v>102.732</v>
      </c>
      <c r="R18" s="99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>
      <c r="A19" s="146"/>
      <c r="B19" s="147"/>
      <c r="C19" s="122" t="s">
        <v>91</v>
      </c>
      <c r="D19" s="123"/>
      <c r="E19" s="124"/>
      <c r="F19" s="47" t="s">
        <v>35</v>
      </c>
      <c r="G19" s="48"/>
      <c r="H19" s="48"/>
      <c r="I19" s="49"/>
      <c r="J19" s="48"/>
      <c r="K19" s="48"/>
      <c r="L19" s="49"/>
      <c r="M19" s="48"/>
      <c r="N19" s="48"/>
      <c r="O19" s="49"/>
      <c r="P19" s="50">
        <f t="shared" si="0"/>
        <v>0</v>
      </c>
      <c r="Q19" s="50">
        <f>P19+'13'!Q19</f>
        <v>34.469000000000001</v>
      </c>
      <c r="R19" s="99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>
      <c r="A20" s="146"/>
      <c r="B20" s="147"/>
      <c r="C20" s="122" t="s">
        <v>92</v>
      </c>
      <c r="D20" s="123"/>
      <c r="E20" s="124"/>
      <c r="F20" s="63" t="s">
        <v>35</v>
      </c>
      <c r="G20" s="48"/>
      <c r="H20" s="48"/>
      <c r="I20" s="49"/>
      <c r="J20" s="48"/>
      <c r="K20" s="48"/>
      <c r="L20" s="49"/>
      <c r="M20" s="48"/>
      <c r="N20" s="48"/>
      <c r="O20" s="49"/>
      <c r="P20" s="50">
        <f t="shared" si="0"/>
        <v>0</v>
      </c>
      <c r="Q20" s="50">
        <f>P20+'13'!Q20</f>
        <v>0.80600000000000005</v>
      </c>
      <c r="R20" s="99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>
      <c r="A21" s="130"/>
      <c r="B21" s="131"/>
      <c r="C21" s="132" t="s">
        <v>93</v>
      </c>
      <c r="D21" s="133"/>
      <c r="E21" s="134"/>
      <c r="F21" s="52">
        <f>F14*(0.5/100)</f>
        <v>0.2</v>
      </c>
      <c r="G21" s="53"/>
      <c r="H21" s="53"/>
      <c r="I21" s="54"/>
      <c r="J21" s="53"/>
      <c r="K21" s="53"/>
      <c r="L21" s="54"/>
      <c r="M21" s="53"/>
      <c r="N21" s="53"/>
      <c r="O21" s="54"/>
      <c r="P21" s="55">
        <f t="shared" si="0"/>
        <v>0</v>
      </c>
      <c r="Q21" s="55">
        <f>P21+'13'!Q21</f>
        <v>7.8379000000000003</v>
      </c>
      <c r="R21" s="99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>
      <c r="A22" s="128" t="s">
        <v>105</v>
      </c>
      <c r="B22" s="129"/>
      <c r="C22" s="119" t="s">
        <v>94</v>
      </c>
      <c r="D22" s="120"/>
      <c r="E22" s="121"/>
      <c r="F22" s="56">
        <v>24</v>
      </c>
      <c r="G22" s="60">
        <v>8.8109999999999999</v>
      </c>
      <c r="H22" s="58"/>
      <c r="I22" s="65" t="s">
        <v>41</v>
      </c>
      <c r="J22" s="60">
        <v>8.8119999999999994</v>
      </c>
      <c r="K22" s="58"/>
      <c r="L22" s="65" t="s">
        <v>41</v>
      </c>
      <c r="M22" s="60">
        <v>7.6520000000000001</v>
      </c>
      <c r="N22" s="58"/>
      <c r="O22" s="65" t="s">
        <v>41</v>
      </c>
      <c r="P22" s="61">
        <f t="shared" si="0"/>
        <v>25.274999999999999</v>
      </c>
      <c r="Q22" s="61">
        <f>P22+'13'!Q22</f>
        <v>104.62</v>
      </c>
      <c r="R22" s="102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>
      <c r="A23" s="130"/>
      <c r="B23" s="131"/>
      <c r="C23" s="132" t="s">
        <v>95</v>
      </c>
      <c r="D23" s="133"/>
      <c r="E23" s="134"/>
      <c r="F23" s="52">
        <v>24</v>
      </c>
      <c r="G23" s="53"/>
      <c r="H23" s="53"/>
      <c r="I23" s="66"/>
      <c r="J23" s="53">
        <v>6.2919999999999998</v>
      </c>
      <c r="K23" s="53"/>
      <c r="L23" s="66" t="s">
        <v>43</v>
      </c>
      <c r="M23" s="53">
        <v>8.0039999999999996</v>
      </c>
      <c r="N23" s="53"/>
      <c r="O23" s="66" t="s">
        <v>43</v>
      </c>
      <c r="P23" s="55">
        <f t="shared" si="0"/>
        <v>14.295999999999999</v>
      </c>
      <c r="Q23" s="55">
        <f>P23+'13'!Q23</f>
        <v>95.961000000000013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>
      <c r="A24" s="128" t="s">
        <v>106</v>
      </c>
      <c r="B24" s="129"/>
      <c r="C24" s="119" t="s">
        <v>96</v>
      </c>
      <c r="D24" s="120"/>
      <c r="E24" s="121"/>
      <c r="F24" s="56">
        <v>24</v>
      </c>
      <c r="G24" s="60"/>
      <c r="H24" s="58"/>
      <c r="I24" s="59"/>
      <c r="J24" s="60"/>
      <c r="K24" s="58"/>
      <c r="L24" s="59"/>
      <c r="M24" s="60"/>
      <c r="N24" s="58"/>
      <c r="O24" s="59"/>
      <c r="P24" s="61">
        <f t="shared" si="0"/>
        <v>0</v>
      </c>
      <c r="Q24" s="61">
        <f>P24+'13'!Q24</f>
        <v>143.72499999999999</v>
      </c>
      <c r="R24" s="97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>
      <c r="A25" s="135"/>
      <c r="B25" s="136"/>
      <c r="C25" s="122" t="s">
        <v>46</v>
      </c>
      <c r="D25" s="123"/>
      <c r="E25" s="124"/>
      <c r="F25" s="47" t="s">
        <v>35</v>
      </c>
      <c r="G25" s="48"/>
      <c r="H25" s="48"/>
      <c r="I25" s="49"/>
      <c r="J25" s="48"/>
      <c r="K25" s="48"/>
      <c r="L25" s="49"/>
      <c r="M25" s="48"/>
      <c r="N25" s="48"/>
      <c r="O25" s="49"/>
      <c r="P25" s="50">
        <f t="shared" si="0"/>
        <v>0</v>
      </c>
      <c r="Q25" s="50">
        <f>P25+'13'!Q25</f>
        <v>4.3583999999999996</v>
      </c>
      <c r="R25" s="99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>
      <c r="A26" s="135"/>
      <c r="B26" s="136"/>
      <c r="C26" s="122" t="s">
        <v>97</v>
      </c>
      <c r="D26" s="123"/>
      <c r="E26" s="124"/>
      <c r="F26" s="47" t="s">
        <v>35</v>
      </c>
      <c r="G26" s="48"/>
      <c r="H26" s="48"/>
      <c r="I26" s="49"/>
      <c r="J26" s="48"/>
      <c r="K26" s="48"/>
      <c r="L26" s="49"/>
      <c r="M26" s="48"/>
      <c r="N26" s="48"/>
      <c r="O26" s="49"/>
      <c r="P26" s="50">
        <f t="shared" si="0"/>
        <v>0</v>
      </c>
      <c r="Q26" s="50">
        <f>P26+'13'!Q26</f>
        <v>133.04400000000001</v>
      </c>
      <c r="R26" s="99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>
      <c r="A27" s="135"/>
      <c r="B27" s="136"/>
      <c r="C27" s="122" t="s">
        <v>98</v>
      </c>
      <c r="D27" s="123"/>
      <c r="E27" s="124"/>
      <c r="F27" s="47" t="s">
        <v>35</v>
      </c>
      <c r="G27" s="48"/>
      <c r="H27" s="48"/>
      <c r="I27" s="49"/>
      <c r="J27" s="48"/>
      <c r="K27" s="48"/>
      <c r="L27" s="49"/>
      <c r="M27" s="48"/>
      <c r="N27" s="48"/>
      <c r="O27" s="49"/>
      <c r="P27" s="50">
        <f t="shared" si="0"/>
        <v>0</v>
      </c>
      <c r="Q27" s="50">
        <f>P27+'13'!Q27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>
      <c r="A28" s="130"/>
      <c r="B28" s="131"/>
      <c r="C28" s="132" t="s">
        <v>99</v>
      </c>
      <c r="D28" s="133"/>
      <c r="E28" s="134"/>
      <c r="F28" s="52" t="s">
        <v>35</v>
      </c>
      <c r="G28" s="53"/>
      <c r="H28" s="53"/>
      <c r="I28" s="54"/>
      <c r="J28" s="53"/>
      <c r="K28" s="53"/>
      <c r="L28" s="54"/>
      <c r="M28" s="53"/>
      <c r="N28" s="53"/>
      <c r="O28" s="54"/>
      <c r="P28" s="55">
        <f t="shared" si="0"/>
        <v>0</v>
      </c>
      <c r="Q28" s="55">
        <f>P28+'13'!Q28</f>
        <v>7.2942999999999998</v>
      </c>
      <c r="R28" s="97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>
      <c r="A29" s="113">
        <v>104</v>
      </c>
      <c r="B29" s="114"/>
      <c r="C29" s="119" t="s">
        <v>100</v>
      </c>
      <c r="D29" s="120"/>
      <c r="E29" s="121"/>
      <c r="F29" s="56"/>
      <c r="G29" s="60"/>
      <c r="H29" s="58"/>
      <c r="I29" s="59"/>
      <c r="J29" s="60"/>
      <c r="K29" s="58"/>
      <c r="L29" s="59"/>
      <c r="M29" s="60"/>
      <c r="N29" s="58"/>
      <c r="O29" s="59"/>
      <c r="P29" s="61">
        <f t="shared" si="0"/>
        <v>0</v>
      </c>
      <c r="Q29" s="61">
        <f>P29+'13'!Q29</f>
        <v>111.60500000000002</v>
      </c>
      <c r="R29" s="102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>
      <c r="A30" s="115"/>
      <c r="B30" s="116"/>
      <c r="C30" s="122" t="s">
        <v>102</v>
      </c>
      <c r="D30" s="123"/>
      <c r="E30" s="124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50">
        <f t="shared" si="0"/>
        <v>0</v>
      </c>
      <c r="Q30" s="50">
        <f>P30+'13'!Q30</f>
        <v>0</v>
      </c>
      <c r="R30" s="99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>
      <c r="A31" s="115"/>
      <c r="B31" s="116"/>
      <c r="C31" s="122" t="s">
        <v>101</v>
      </c>
      <c r="D31" s="123"/>
      <c r="E31" s="124"/>
      <c r="F31" s="47"/>
      <c r="G31" s="48"/>
      <c r="H31" s="48"/>
      <c r="I31" s="49"/>
      <c r="J31" s="48"/>
      <c r="K31" s="48"/>
      <c r="L31" s="49"/>
      <c r="M31" s="48"/>
      <c r="N31" s="48"/>
      <c r="O31" s="49"/>
      <c r="P31" s="50">
        <f t="shared" si="0"/>
        <v>0</v>
      </c>
      <c r="Q31" s="50">
        <f>P31+'13'!Q31</f>
        <v>22.201000000000001</v>
      </c>
      <c r="R31" s="99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>
      <c r="A32" s="115"/>
      <c r="B32" s="116"/>
      <c r="C32" s="122" t="s">
        <v>103</v>
      </c>
      <c r="D32" s="123"/>
      <c r="E32" s="124"/>
      <c r="F32" s="47"/>
      <c r="G32" s="48"/>
      <c r="H32" s="48"/>
      <c r="I32" s="49"/>
      <c r="J32" s="48"/>
      <c r="K32" s="48"/>
      <c r="L32" s="65" t="s">
        <v>60</v>
      </c>
      <c r="M32" s="49">
        <v>9.1110000000000007</v>
      </c>
      <c r="N32" s="48"/>
      <c r="O32" s="65" t="s">
        <v>60</v>
      </c>
      <c r="P32" s="50">
        <f t="shared" si="0"/>
        <v>9.1110000000000007</v>
      </c>
      <c r="Q32" s="50">
        <f>P32+'13'!Q32</f>
        <v>134.851</v>
      </c>
      <c r="R32" s="99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>
      <c r="A33" s="117"/>
      <c r="B33" s="118"/>
      <c r="C33" s="125" t="s">
        <v>104</v>
      </c>
      <c r="D33" s="126"/>
      <c r="E33" s="127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72">
        <f>G33+J33+M33</f>
        <v>0</v>
      </c>
      <c r="Q33" s="72">
        <f>P33+'13'!Q33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/>
    <row r="35" spans="1:26" ht="14.1" customHeight="1"/>
    <row r="36" spans="1:26" ht="14.1" customHeight="1"/>
    <row r="37" spans="1:26" ht="14.1" customHeight="1"/>
    <row r="38" spans="1:26" ht="14.1" customHeight="1"/>
    <row r="39" spans="1:26" ht="14.1" customHeight="1"/>
    <row r="40" spans="1:26" ht="14.1" customHeight="1"/>
    <row r="41" spans="1:26" ht="14.1" customHeight="1"/>
    <row r="42" spans="1:26" ht="14.1" customHeight="1"/>
    <row r="43" spans="1:26" ht="14.1" customHeight="1"/>
    <row r="44" spans="1:26" ht="14.1" customHeight="1"/>
    <row r="45" spans="1:26" ht="14.1" customHeight="1"/>
    <row r="46" spans="1:26" ht="14.1" customHeight="1"/>
    <row r="47" spans="1:26" ht="14.1" customHeight="1"/>
    <row r="48" spans="1:26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  <row r="58" ht="14.1" customHeight="1"/>
    <row r="59" ht="14.1" customHeight="1"/>
    <row r="60" ht="14.1" customHeight="1"/>
    <row r="61" ht="14.1" customHeight="1"/>
    <row r="62" ht="14.1" customHeight="1"/>
    <row r="63" ht="14.1" customHeight="1"/>
    <row r="64" ht="14.1" customHeight="1"/>
    <row r="65" ht="14.1" customHeight="1"/>
    <row r="66" ht="14.1" customHeight="1"/>
    <row r="67" ht="14.1" customHeight="1"/>
    <row r="68" ht="15" customHeight="1"/>
    <row r="69" ht="12.95" customHeight="1"/>
    <row r="70" ht="14.1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4.1" customHeight="1"/>
    <row r="122" ht="14.1" customHeight="1"/>
    <row r="123" ht="14.1" customHeight="1"/>
    <row r="124" ht="14.1" customHeight="1"/>
    <row r="125" ht="14.1" customHeight="1"/>
    <row r="126" ht="10.5" customHeight="1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7039F2F4-3B32-41FA-9872-BF0CF33EDCE0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4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900E4-AE3E-471A-8D35-2423C26148B6}">
  <sheetPr codeName="Sheet18"/>
  <dimension ref="A1:Z126"/>
  <sheetViews>
    <sheetView showGridLines="0" zoomScale="87" zoomScaleNormal="87" zoomScaleSheetLayoutView="113" workbookViewId="0">
      <selection activeCell="A11" sqref="A11:E33"/>
    </sheetView>
  </sheetViews>
  <sheetFormatPr defaultColWidth="10.140625" defaultRowHeight="1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7.8554687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6" width="8.42578125" customWidth="1"/>
    <col min="17" max="17" width="9.140625" customWidth="1"/>
    <col min="18" max="18" width="8.42578125" customWidth="1"/>
    <col min="27" max="16384" width="10.140625" style="9"/>
  </cols>
  <sheetData>
    <row r="1" spans="1:26" ht="15" customHeight="1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>
      <c r="A2" s="10"/>
      <c r="B2" s="10"/>
      <c r="C2" s="10"/>
      <c r="D2" s="10"/>
      <c r="E2" s="10"/>
      <c r="F2" s="10"/>
      <c r="G2" s="173"/>
      <c r="H2" s="173"/>
      <c r="I2" s="173"/>
      <c r="J2" s="173"/>
      <c r="K2" s="173"/>
      <c r="L2" s="173"/>
      <c r="M2" s="10"/>
      <c r="N2" s="11"/>
      <c r="O2" s="174"/>
      <c r="P2" s="174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>
      <c r="A3" s="10"/>
      <c r="B3" s="10"/>
      <c r="C3" s="10"/>
      <c r="D3" s="10"/>
      <c r="E3" s="10"/>
      <c r="F3" s="10"/>
      <c r="G3" s="173"/>
      <c r="H3" s="173"/>
      <c r="I3" s="173"/>
      <c r="J3" s="173"/>
      <c r="K3" s="173"/>
      <c r="L3" s="173"/>
      <c r="M3" s="10"/>
      <c r="N3" s="11"/>
      <c r="O3" s="174"/>
      <c r="P3" s="174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>
      <c r="A4" s="10"/>
      <c r="B4" s="10"/>
      <c r="C4" s="10"/>
      <c r="D4" s="10"/>
      <c r="E4" s="10"/>
      <c r="F4" s="10"/>
      <c r="G4" s="173"/>
      <c r="H4" s="173"/>
      <c r="I4" s="173"/>
      <c r="J4" s="173"/>
      <c r="K4" s="173"/>
      <c r="L4" s="173"/>
      <c r="M4" s="10"/>
      <c r="N4" s="11"/>
      <c r="O4" s="174"/>
      <c r="P4" s="174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>
      <c r="A5" s="169" t="s">
        <v>8</v>
      </c>
      <c r="B5" s="169"/>
      <c r="C5" s="16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>
      <c r="A6" s="169" t="s">
        <v>10</v>
      </c>
      <c r="B6" s="169"/>
      <c r="C6" s="169"/>
      <c r="D6" s="179">
        <f>'14'!D6+1</f>
        <v>46068</v>
      </c>
      <c r="E6" s="179"/>
      <c r="F6" s="28"/>
      <c r="G6" s="171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>
      <c r="A8" s="175" t="s">
        <v>11</v>
      </c>
      <c r="B8" s="175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9"/>
      <c r="T8" s="9"/>
      <c r="U8" s="9"/>
      <c r="V8" s="9"/>
      <c r="W8" s="9"/>
      <c r="X8" s="9"/>
      <c r="Y8" s="9"/>
      <c r="Z8" s="9"/>
    </row>
    <row r="9" spans="1:26" ht="24.95" customHeight="1">
      <c r="A9" s="158" t="s">
        <v>12</v>
      </c>
      <c r="B9" s="159"/>
      <c r="C9" s="162" t="s">
        <v>13</v>
      </c>
      <c r="D9" s="162"/>
      <c r="E9" s="163"/>
      <c r="F9" s="20" t="s">
        <v>14</v>
      </c>
      <c r="G9" s="166" t="s">
        <v>15</v>
      </c>
      <c r="H9" s="167"/>
      <c r="I9" s="21" t="s">
        <v>16</v>
      </c>
      <c r="J9" s="166" t="s">
        <v>17</v>
      </c>
      <c r="K9" s="167"/>
      <c r="L9" s="21" t="s">
        <v>16</v>
      </c>
      <c r="M9" s="166" t="s">
        <v>18</v>
      </c>
      <c r="N9" s="167"/>
      <c r="O9" s="22" t="s">
        <v>16</v>
      </c>
      <c r="P9" s="167" t="s">
        <v>19</v>
      </c>
      <c r="Q9" s="167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>
      <c r="A10" s="160"/>
      <c r="B10" s="161"/>
      <c r="C10" s="164"/>
      <c r="D10" s="164"/>
      <c r="E10" s="165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68"/>
      <c r="Q10" s="168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>
      <c r="A11" s="137">
        <v>101</v>
      </c>
      <c r="B11" s="138"/>
      <c r="C11" s="139" t="s">
        <v>83</v>
      </c>
      <c r="D11" s="139"/>
      <c r="E11" s="140"/>
      <c r="F11" s="41">
        <v>60</v>
      </c>
      <c r="G11" s="42">
        <v>19.2</v>
      </c>
      <c r="H11" s="43"/>
      <c r="I11" s="44" t="s">
        <v>67</v>
      </c>
      <c r="J11" s="42">
        <v>21</v>
      </c>
      <c r="K11" s="43"/>
      <c r="L11" s="44" t="s">
        <v>67</v>
      </c>
      <c r="M11" s="42">
        <v>21</v>
      </c>
      <c r="N11" s="43"/>
      <c r="O11" s="44" t="s">
        <v>67</v>
      </c>
      <c r="P11" s="45">
        <f>G11+J11+M11</f>
        <v>61.2</v>
      </c>
      <c r="Q11" s="105">
        <f>P11+'14'!Q11</f>
        <v>725.5</v>
      </c>
      <c r="R11" s="97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>
      <c r="A12" s="135"/>
      <c r="B12" s="136"/>
      <c r="C12" s="141" t="s">
        <v>84</v>
      </c>
      <c r="D12" s="141"/>
      <c r="E12" s="142"/>
      <c r="F12" s="47">
        <v>30</v>
      </c>
      <c r="G12" s="48">
        <v>9.9</v>
      </c>
      <c r="H12" s="48"/>
      <c r="I12" s="49" t="s">
        <v>69</v>
      </c>
      <c r="J12" s="48">
        <v>9.4</v>
      </c>
      <c r="K12" s="48"/>
      <c r="L12" s="49" t="s">
        <v>69</v>
      </c>
      <c r="M12" s="48">
        <v>13.4</v>
      </c>
      <c r="N12" s="48"/>
      <c r="O12" s="49" t="s">
        <v>69</v>
      </c>
      <c r="P12" s="50">
        <f t="shared" ref="P12:P32" si="0">G12+J12+M12</f>
        <v>32.700000000000003</v>
      </c>
      <c r="Q12" s="50">
        <f>P12+'14'!Q12</f>
        <v>381.8</v>
      </c>
      <c r="R12" s="99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>
      <c r="A13" s="130"/>
      <c r="B13" s="131"/>
      <c r="C13" s="143" t="s">
        <v>85</v>
      </c>
      <c r="D13" s="143"/>
      <c r="E13" s="144"/>
      <c r="F13" s="52">
        <v>30</v>
      </c>
      <c r="G13" s="53">
        <v>7</v>
      </c>
      <c r="H13" s="53"/>
      <c r="I13" s="54" t="s">
        <v>70</v>
      </c>
      <c r="J13" s="53">
        <v>11.5</v>
      </c>
      <c r="K13" s="53"/>
      <c r="L13" s="54" t="s">
        <v>70</v>
      </c>
      <c r="M13" s="53">
        <v>7</v>
      </c>
      <c r="N13" s="53"/>
      <c r="O13" s="54" t="s">
        <v>70</v>
      </c>
      <c r="P13" s="55">
        <f t="shared" si="0"/>
        <v>25.5</v>
      </c>
      <c r="Q13" s="55">
        <f>P13+'14'!Q13</f>
        <v>304</v>
      </c>
      <c r="R13" s="99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>
      <c r="A14" s="128">
        <v>102</v>
      </c>
      <c r="B14" s="145"/>
      <c r="C14" s="148" t="s">
        <v>86</v>
      </c>
      <c r="D14" s="149"/>
      <c r="E14" s="150"/>
      <c r="F14" s="56">
        <v>40</v>
      </c>
      <c r="G14" s="57"/>
      <c r="H14" s="58"/>
      <c r="I14" s="59"/>
      <c r="J14" s="60"/>
      <c r="K14" s="58"/>
      <c r="L14" s="59"/>
      <c r="M14" s="60"/>
      <c r="N14" s="58"/>
      <c r="O14" s="59"/>
      <c r="P14" s="61">
        <f t="shared" si="0"/>
        <v>0</v>
      </c>
      <c r="Q14" s="61">
        <f>P14+'14'!Q14</f>
        <v>158.89400000000001</v>
      </c>
      <c r="R14" s="102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>
      <c r="A15" s="146"/>
      <c r="B15" s="147"/>
      <c r="C15" s="151" t="s">
        <v>87</v>
      </c>
      <c r="D15" s="152"/>
      <c r="E15" s="153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50">
        <f t="shared" si="0"/>
        <v>0</v>
      </c>
      <c r="Q15" s="50">
        <f>P15+'14'!Q15</f>
        <v>0</v>
      </c>
      <c r="R15" s="97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>
      <c r="A16" s="146"/>
      <c r="B16" s="147"/>
      <c r="C16" s="154" t="s">
        <v>88</v>
      </c>
      <c r="D16" s="155"/>
      <c r="E16" s="156"/>
      <c r="F16" s="47">
        <f>F14*(2/100)</f>
        <v>0.8</v>
      </c>
      <c r="G16" s="48"/>
      <c r="H16" s="48"/>
      <c r="I16" s="49"/>
      <c r="J16" s="48"/>
      <c r="K16" s="48"/>
      <c r="L16" s="49"/>
      <c r="M16" s="48"/>
      <c r="N16" s="48"/>
      <c r="O16" s="49"/>
      <c r="P16" s="50">
        <f t="shared" si="0"/>
        <v>0</v>
      </c>
      <c r="Q16" s="50">
        <f>P16+'14'!Q16</f>
        <v>12.878699999999998</v>
      </c>
      <c r="R16" s="99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>
      <c r="A17" s="146"/>
      <c r="B17" s="147"/>
      <c r="C17" s="122" t="s">
        <v>89</v>
      </c>
      <c r="D17" s="123"/>
      <c r="E17" s="124"/>
      <c r="F17" s="47">
        <f>F14*12/100</f>
        <v>4.8</v>
      </c>
      <c r="G17" s="48"/>
      <c r="H17" s="48"/>
      <c r="I17" s="49"/>
      <c r="J17" s="48"/>
      <c r="K17" s="48"/>
      <c r="L17" s="49"/>
      <c r="M17" s="48"/>
      <c r="N17" s="48"/>
      <c r="O17" s="49"/>
      <c r="P17" s="50">
        <f t="shared" si="0"/>
        <v>0</v>
      </c>
      <c r="Q17" s="50">
        <f>P17+'14'!Q17</f>
        <v>0.22700000000000001</v>
      </c>
      <c r="R17" s="99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>
      <c r="A18" s="146"/>
      <c r="B18" s="147"/>
      <c r="C18" s="122" t="s">
        <v>90</v>
      </c>
      <c r="D18" s="123"/>
      <c r="E18" s="124"/>
      <c r="F18" s="47" t="s">
        <v>35</v>
      </c>
      <c r="G18" s="48"/>
      <c r="H18" s="48"/>
      <c r="I18" s="49"/>
      <c r="J18" s="48"/>
      <c r="K18" s="48"/>
      <c r="L18" s="49"/>
      <c r="M18" s="48"/>
      <c r="N18" s="48"/>
      <c r="O18" s="49"/>
      <c r="P18" s="50">
        <f t="shared" si="0"/>
        <v>0</v>
      </c>
      <c r="Q18" s="50">
        <f>P18+'14'!Q18</f>
        <v>102.732</v>
      </c>
      <c r="R18" s="99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>
      <c r="A19" s="146"/>
      <c r="B19" s="147"/>
      <c r="C19" s="122" t="s">
        <v>91</v>
      </c>
      <c r="D19" s="123"/>
      <c r="E19" s="124"/>
      <c r="F19" s="47" t="s">
        <v>35</v>
      </c>
      <c r="G19" s="48"/>
      <c r="H19" s="48"/>
      <c r="I19" s="49"/>
      <c r="J19" s="48"/>
      <c r="K19" s="48"/>
      <c r="L19" s="49"/>
      <c r="M19" s="48"/>
      <c r="N19" s="48"/>
      <c r="O19" s="49"/>
      <c r="P19" s="50">
        <f t="shared" si="0"/>
        <v>0</v>
      </c>
      <c r="Q19" s="50">
        <f>P19+'14'!Q19</f>
        <v>34.469000000000001</v>
      </c>
      <c r="R19" s="99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>
      <c r="A20" s="146"/>
      <c r="B20" s="147"/>
      <c r="C20" s="122" t="s">
        <v>92</v>
      </c>
      <c r="D20" s="123"/>
      <c r="E20" s="124"/>
      <c r="F20" s="63" t="s">
        <v>35</v>
      </c>
      <c r="G20" s="48"/>
      <c r="H20" s="48"/>
      <c r="I20" s="49"/>
      <c r="J20" s="48"/>
      <c r="K20" s="48"/>
      <c r="L20" s="49"/>
      <c r="M20" s="48"/>
      <c r="N20" s="48"/>
      <c r="O20" s="49"/>
      <c r="P20" s="50">
        <f t="shared" si="0"/>
        <v>0</v>
      </c>
      <c r="Q20" s="50">
        <f>P20+'14'!Q20</f>
        <v>0.80600000000000005</v>
      </c>
      <c r="R20" s="99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>
      <c r="A21" s="130"/>
      <c r="B21" s="131"/>
      <c r="C21" s="132" t="s">
        <v>93</v>
      </c>
      <c r="D21" s="133"/>
      <c r="E21" s="134"/>
      <c r="F21" s="52">
        <f>F14*(0.5/100)</f>
        <v>0.2</v>
      </c>
      <c r="G21" s="53"/>
      <c r="H21" s="53"/>
      <c r="I21" s="54"/>
      <c r="J21" s="53"/>
      <c r="K21" s="53"/>
      <c r="L21" s="54"/>
      <c r="M21" s="53"/>
      <c r="N21" s="53"/>
      <c r="O21" s="54"/>
      <c r="P21" s="55">
        <f t="shared" si="0"/>
        <v>0</v>
      </c>
      <c r="Q21" s="55">
        <f>P21+'14'!Q21</f>
        <v>7.8379000000000003</v>
      </c>
      <c r="R21" s="99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>
      <c r="A22" s="128" t="s">
        <v>105</v>
      </c>
      <c r="B22" s="129"/>
      <c r="C22" s="119" t="s">
        <v>94</v>
      </c>
      <c r="D22" s="120"/>
      <c r="E22" s="121"/>
      <c r="F22" s="56">
        <v>24</v>
      </c>
      <c r="G22" s="60">
        <v>9.0359999999999996</v>
      </c>
      <c r="H22" s="58"/>
      <c r="I22" s="65" t="s">
        <v>41</v>
      </c>
      <c r="J22" s="60">
        <v>9.5399999999999991</v>
      </c>
      <c r="K22" s="58"/>
      <c r="L22" s="65" t="s">
        <v>41</v>
      </c>
      <c r="M22" s="60">
        <v>7.3289999999999997</v>
      </c>
      <c r="N22" s="58"/>
      <c r="O22" s="65" t="s">
        <v>41</v>
      </c>
      <c r="P22" s="61">
        <f t="shared" si="0"/>
        <v>25.905000000000001</v>
      </c>
      <c r="Q22" s="61">
        <f>P22+'14'!Q22</f>
        <v>130.52500000000001</v>
      </c>
      <c r="R22" s="102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>
      <c r="A23" s="130"/>
      <c r="B23" s="131"/>
      <c r="C23" s="132" t="s">
        <v>95</v>
      </c>
      <c r="D23" s="133"/>
      <c r="E23" s="134"/>
      <c r="F23" s="52">
        <v>24</v>
      </c>
      <c r="G23" s="53">
        <v>7.8449999999999998</v>
      </c>
      <c r="H23" s="53"/>
      <c r="I23" s="66" t="s">
        <v>43</v>
      </c>
      <c r="J23" s="53">
        <v>8.3260000000000005</v>
      </c>
      <c r="K23" s="53"/>
      <c r="L23" s="66" t="s">
        <v>43</v>
      </c>
      <c r="M23" s="53">
        <v>8.2780000000000005</v>
      </c>
      <c r="N23" s="53"/>
      <c r="O23" s="66" t="s">
        <v>43</v>
      </c>
      <c r="P23" s="55">
        <f t="shared" si="0"/>
        <v>24.448999999999998</v>
      </c>
      <c r="Q23" s="55">
        <f>P23+'14'!Q23</f>
        <v>120.41000000000001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>
      <c r="A24" s="128" t="s">
        <v>106</v>
      </c>
      <c r="B24" s="129"/>
      <c r="C24" s="119" t="s">
        <v>96</v>
      </c>
      <c r="D24" s="120"/>
      <c r="E24" s="121"/>
      <c r="F24" s="56">
        <v>24</v>
      </c>
      <c r="G24" s="60"/>
      <c r="H24" s="58"/>
      <c r="I24" s="59" t="s">
        <v>43</v>
      </c>
      <c r="J24" s="60">
        <v>8.5210000000000008</v>
      </c>
      <c r="K24" s="58"/>
      <c r="L24" s="59" t="s">
        <v>43</v>
      </c>
      <c r="M24" s="60">
        <v>8.7119999999999997</v>
      </c>
      <c r="N24" s="58"/>
      <c r="O24" s="59" t="s">
        <v>43</v>
      </c>
      <c r="P24" s="61">
        <f t="shared" si="0"/>
        <v>17.233000000000001</v>
      </c>
      <c r="Q24" s="61">
        <f>P24+'14'!Q24</f>
        <v>160.958</v>
      </c>
      <c r="R24" s="97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>
      <c r="A25" s="135"/>
      <c r="B25" s="136"/>
      <c r="C25" s="122" t="s">
        <v>46</v>
      </c>
      <c r="D25" s="123"/>
      <c r="E25" s="124"/>
      <c r="F25" s="47" t="s">
        <v>35</v>
      </c>
      <c r="G25" s="48"/>
      <c r="H25" s="48"/>
      <c r="I25" s="49" t="s">
        <v>77</v>
      </c>
      <c r="J25" s="48">
        <v>0.1666</v>
      </c>
      <c r="K25" s="48"/>
      <c r="L25" s="49" t="s">
        <v>77</v>
      </c>
      <c r="M25" s="48">
        <v>0.152</v>
      </c>
      <c r="N25" s="48"/>
      <c r="O25" s="49" t="s">
        <v>77</v>
      </c>
      <c r="P25" s="50">
        <f t="shared" si="0"/>
        <v>0.31859999999999999</v>
      </c>
      <c r="Q25" s="50">
        <f>P25+'14'!Q25</f>
        <v>4.6769999999999996</v>
      </c>
      <c r="R25" s="99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>
      <c r="A26" s="135"/>
      <c r="B26" s="136"/>
      <c r="C26" s="122" t="s">
        <v>97</v>
      </c>
      <c r="D26" s="123"/>
      <c r="E26" s="124"/>
      <c r="F26" s="47" t="s">
        <v>35</v>
      </c>
      <c r="G26" s="48"/>
      <c r="H26" s="48"/>
      <c r="I26" s="49" t="s">
        <v>49</v>
      </c>
      <c r="J26" s="48">
        <v>8.0250000000000004</v>
      </c>
      <c r="K26" s="48"/>
      <c r="L26" s="49" t="s">
        <v>49</v>
      </c>
      <c r="M26" s="48">
        <v>8.2189999999999994</v>
      </c>
      <c r="N26" s="48"/>
      <c r="O26" s="49" t="s">
        <v>49</v>
      </c>
      <c r="P26" s="50">
        <f t="shared" si="0"/>
        <v>16.244</v>
      </c>
      <c r="Q26" s="50">
        <f>P26+'14'!Q26</f>
        <v>149.28800000000001</v>
      </c>
      <c r="R26" s="99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>
      <c r="A27" s="135"/>
      <c r="B27" s="136"/>
      <c r="C27" s="122" t="s">
        <v>98</v>
      </c>
      <c r="D27" s="123"/>
      <c r="E27" s="124"/>
      <c r="F27" s="47" t="s">
        <v>35</v>
      </c>
      <c r="G27" s="48"/>
      <c r="H27" s="48"/>
      <c r="I27" s="49" t="s">
        <v>78</v>
      </c>
      <c r="J27" s="48">
        <v>0</v>
      </c>
      <c r="K27" s="48"/>
      <c r="L27" s="49" t="s">
        <v>78</v>
      </c>
      <c r="M27" s="48">
        <v>0</v>
      </c>
      <c r="N27" s="48"/>
      <c r="O27" s="49" t="s">
        <v>79</v>
      </c>
      <c r="P27" s="50">
        <f t="shared" si="0"/>
        <v>0</v>
      </c>
      <c r="Q27" s="50">
        <f>P27+'14'!Q27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>
      <c r="A28" s="130"/>
      <c r="B28" s="131"/>
      <c r="C28" s="132" t="s">
        <v>99</v>
      </c>
      <c r="D28" s="133"/>
      <c r="E28" s="134"/>
      <c r="F28" s="52" t="s">
        <v>35</v>
      </c>
      <c r="G28" s="53"/>
      <c r="H28" s="53"/>
      <c r="I28" s="54" t="s">
        <v>53</v>
      </c>
      <c r="J28" s="53">
        <v>0.32990000000000003</v>
      </c>
      <c r="K28" s="53"/>
      <c r="L28" s="54" t="s">
        <v>53</v>
      </c>
      <c r="M28" s="53">
        <v>0.36699999999999999</v>
      </c>
      <c r="N28" s="53"/>
      <c r="O28" s="54" t="s">
        <v>53</v>
      </c>
      <c r="P28" s="55">
        <f t="shared" si="0"/>
        <v>0.69690000000000007</v>
      </c>
      <c r="Q28" s="55">
        <f>P28+'14'!Q28</f>
        <v>7.9912000000000001</v>
      </c>
      <c r="R28" s="97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>
      <c r="A29" s="113">
        <v>104</v>
      </c>
      <c r="B29" s="114"/>
      <c r="C29" s="119" t="s">
        <v>100</v>
      </c>
      <c r="D29" s="120"/>
      <c r="E29" s="121"/>
      <c r="F29" s="56"/>
      <c r="G29" s="60"/>
      <c r="H29" s="58"/>
      <c r="I29" s="59"/>
      <c r="J29" s="60"/>
      <c r="K29" s="58"/>
      <c r="L29" s="59"/>
      <c r="M29" s="60"/>
      <c r="N29" s="58"/>
      <c r="O29" s="59"/>
      <c r="P29" s="61">
        <f t="shared" si="0"/>
        <v>0</v>
      </c>
      <c r="Q29" s="61">
        <f>P29+'14'!Q29</f>
        <v>111.60500000000002</v>
      </c>
      <c r="R29" s="102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>
      <c r="A30" s="115"/>
      <c r="B30" s="116"/>
      <c r="C30" s="122" t="s">
        <v>102</v>
      </c>
      <c r="D30" s="123"/>
      <c r="E30" s="124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50">
        <f t="shared" si="0"/>
        <v>0</v>
      </c>
      <c r="Q30" s="50">
        <f>P30+'14'!Q30</f>
        <v>0</v>
      </c>
      <c r="R30" s="99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>
      <c r="A31" s="115"/>
      <c r="B31" s="116"/>
      <c r="C31" s="122" t="s">
        <v>101</v>
      </c>
      <c r="D31" s="123"/>
      <c r="E31" s="124"/>
      <c r="F31" s="47"/>
      <c r="G31" s="48"/>
      <c r="H31" s="48"/>
      <c r="I31" s="49"/>
      <c r="J31" s="48"/>
      <c r="K31" s="48"/>
      <c r="L31" s="49"/>
      <c r="M31" s="48"/>
      <c r="N31" s="48"/>
      <c r="O31" s="49"/>
      <c r="P31" s="50">
        <f t="shared" si="0"/>
        <v>0</v>
      </c>
      <c r="Q31" s="50">
        <f>P31+'14'!Q31</f>
        <v>22.201000000000001</v>
      </c>
      <c r="R31" s="99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>
      <c r="A32" s="115"/>
      <c r="B32" s="116"/>
      <c r="C32" s="122" t="s">
        <v>103</v>
      </c>
      <c r="D32" s="123"/>
      <c r="E32" s="124"/>
      <c r="F32" s="47"/>
      <c r="G32" s="48">
        <v>3.714</v>
      </c>
      <c r="H32" s="48"/>
      <c r="I32" s="54" t="s">
        <v>60</v>
      </c>
      <c r="J32" s="48"/>
      <c r="K32" s="48"/>
      <c r="L32" s="49"/>
      <c r="M32" s="49"/>
      <c r="N32" s="48"/>
      <c r="O32" s="49"/>
      <c r="P32" s="50">
        <f t="shared" si="0"/>
        <v>3.714</v>
      </c>
      <c r="Q32" s="50">
        <f>P32+'14'!Q32</f>
        <v>138.565</v>
      </c>
      <c r="R32" s="99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>
      <c r="A33" s="117"/>
      <c r="B33" s="118"/>
      <c r="C33" s="125" t="s">
        <v>104</v>
      </c>
      <c r="D33" s="126"/>
      <c r="E33" s="127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72">
        <f>G33+J33+M33</f>
        <v>0</v>
      </c>
      <c r="Q33" s="72">
        <f>P33+'14'!Q33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/>
    <row r="35" spans="1:26" ht="14.1" customHeight="1"/>
    <row r="36" spans="1:26" ht="14.1" customHeight="1"/>
    <row r="37" spans="1:26" ht="14.1" customHeight="1"/>
    <row r="38" spans="1:26" ht="14.1" customHeight="1"/>
    <row r="39" spans="1:26" ht="14.1" customHeight="1"/>
    <row r="40" spans="1:26" ht="14.1" customHeight="1"/>
    <row r="41" spans="1:26" ht="14.1" customHeight="1"/>
    <row r="42" spans="1:26" ht="14.1" customHeight="1"/>
    <row r="43" spans="1:26" ht="14.1" customHeight="1"/>
    <row r="44" spans="1:26" ht="14.1" customHeight="1"/>
    <row r="45" spans="1:26" ht="14.1" customHeight="1"/>
    <row r="46" spans="1:26" ht="14.1" customHeight="1"/>
    <row r="47" spans="1:26" ht="14.1" customHeight="1"/>
    <row r="48" spans="1:26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  <row r="58" ht="14.1" customHeight="1"/>
    <row r="59" ht="14.1" customHeight="1"/>
    <row r="60" ht="14.1" customHeight="1"/>
    <row r="61" ht="14.1" customHeight="1"/>
    <row r="62" ht="14.1" customHeight="1"/>
    <row r="63" ht="14.1" customHeight="1"/>
    <row r="64" ht="14.1" customHeight="1"/>
    <row r="65" ht="14.1" customHeight="1"/>
    <row r="66" ht="14.1" customHeight="1"/>
    <row r="67" ht="14.1" customHeight="1"/>
    <row r="68" ht="15" customHeight="1"/>
    <row r="69" ht="12.95" customHeight="1"/>
    <row r="70" ht="14.1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4.1" customHeight="1"/>
    <row r="122" ht="14.1" customHeight="1"/>
    <row r="123" ht="14.1" customHeight="1"/>
    <row r="124" ht="14.1" customHeight="1"/>
    <row r="125" ht="14.1" customHeight="1"/>
    <row r="126" ht="10.5" customHeight="1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8382430C-C5FD-4F37-B034-0581F3E2ABBF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209550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6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209550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7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209550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8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DD821-F900-4FC6-8E4F-1A0F11021EA7}">
  <sheetPr codeName="Sheet19"/>
  <dimension ref="A1:Z126"/>
  <sheetViews>
    <sheetView showGridLines="0" zoomScale="85" zoomScaleNormal="85" zoomScaleSheetLayoutView="113" workbookViewId="0">
      <selection activeCell="A11" sqref="A11:E33"/>
    </sheetView>
  </sheetViews>
  <sheetFormatPr defaultColWidth="10.140625" defaultRowHeight="1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10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6" width="8.42578125" customWidth="1"/>
    <col min="17" max="17" width="9.140625" customWidth="1"/>
    <col min="18" max="18" width="8.42578125" customWidth="1"/>
    <col min="27" max="16384" width="10.140625" style="9"/>
  </cols>
  <sheetData>
    <row r="1" spans="1:26" ht="15" customHeight="1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>
      <c r="A2" s="10"/>
      <c r="B2" s="10"/>
      <c r="C2" s="10"/>
      <c r="D2" s="10"/>
      <c r="E2" s="10"/>
      <c r="F2" s="10"/>
      <c r="G2" s="173"/>
      <c r="H2" s="173"/>
      <c r="I2" s="173"/>
      <c r="J2" s="173"/>
      <c r="K2" s="173"/>
      <c r="L2" s="173"/>
      <c r="M2" s="10"/>
      <c r="N2" s="11"/>
      <c r="O2" s="174"/>
      <c r="P2" s="174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>
      <c r="A3" s="10"/>
      <c r="B3" s="10"/>
      <c r="C3" s="10"/>
      <c r="D3" s="10"/>
      <c r="E3" s="10"/>
      <c r="F3" s="10"/>
      <c r="G3" s="173"/>
      <c r="H3" s="173"/>
      <c r="I3" s="173"/>
      <c r="J3" s="173"/>
      <c r="K3" s="173"/>
      <c r="L3" s="173"/>
      <c r="M3" s="10"/>
      <c r="N3" s="11"/>
      <c r="O3" s="174"/>
      <c r="P3" s="174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>
      <c r="A4" s="10"/>
      <c r="B4" s="10"/>
      <c r="C4" s="10"/>
      <c r="D4" s="10"/>
      <c r="E4" s="10"/>
      <c r="F4" s="10"/>
      <c r="G4" s="173"/>
      <c r="H4" s="173"/>
      <c r="I4" s="173"/>
      <c r="J4" s="173"/>
      <c r="K4" s="173"/>
      <c r="L4" s="173"/>
      <c r="M4" s="10"/>
      <c r="N4" s="11"/>
      <c r="O4" s="174"/>
      <c r="P4" s="174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>
      <c r="A5" s="169" t="s">
        <v>8</v>
      </c>
      <c r="B5" s="169"/>
      <c r="C5" s="16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>
      <c r="A6" s="169" t="s">
        <v>10</v>
      </c>
      <c r="B6" s="169"/>
      <c r="C6" s="169"/>
      <c r="D6" s="179">
        <f>'15'!D6+1</f>
        <v>46069</v>
      </c>
      <c r="E6" s="179"/>
      <c r="F6" s="28"/>
      <c r="G6" s="171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>
      <c r="A8" s="175" t="s">
        <v>11</v>
      </c>
      <c r="B8" s="175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9"/>
      <c r="T8" s="9"/>
      <c r="U8" s="9"/>
      <c r="V8" s="9"/>
      <c r="W8" s="9"/>
      <c r="X8" s="9"/>
      <c r="Y8" s="9"/>
      <c r="Z8" s="9"/>
    </row>
    <row r="9" spans="1:26" ht="24.95" customHeight="1">
      <c r="A9" s="158" t="s">
        <v>12</v>
      </c>
      <c r="B9" s="159"/>
      <c r="C9" s="162" t="s">
        <v>13</v>
      </c>
      <c r="D9" s="162"/>
      <c r="E9" s="163"/>
      <c r="F9" s="20" t="s">
        <v>14</v>
      </c>
      <c r="G9" s="166" t="s">
        <v>15</v>
      </c>
      <c r="H9" s="167"/>
      <c r="I9" s="21" t="s">
        <v>16</v>
      </c>
      <c r="J9" s="166" t="s">
        <v>17</v>
      </c>
      <c r="K9" s="167"/>
      <c r="L9" s="21" t="s">
        <v>16</v>
      </c>
      <c r="M9" s="166" t="s">
        <v>18</v>
      </c>
      <c r="N9" s="167"/>
      <c r="O9" s="22" t="s">
        <v>16</v>
      </c>
      <c r="P9" s="167" t="s">
        <v>19</v>
      </c>
      <c r="Q9" s="167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>
      <c r="A10" s="160"/>
      <c r="B10" s="161"/>
      <c r="C10" s="164"/>
      <c r="D10" s="164"/>
      <c r="E10" s="165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68"/>
      <c r="Q10" s="168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>
      <c r="A11" s="137">
        <v>101</v>
      </c>
      <c r="B11" s="138"/>
      <c r="C11" s="139" t="s">
        <v>83</v>
      </c>
      <c r="D11" s="139"/>
      <c r="E11" s="140"/>
      <c r="F11" s="41">
        <v>60</v>
      </c>
      <c r="G11" s="42">
        <v>19.2</v>
      </c>
      <c r="H11" s="43"/>
      <c r="I11" s="44" t="s">
        <v>67</v>
      </c>
      <c r="J11" s="42">
        <v>21.9</v>
      </c>
      <c r="K11" s="43"/>
      <c r="L11" s="44" t="s">
        <v>67</v>
      </c>
      <c r="M11" s="42">
        <v>20.7</v>
      </c>
      <c r="N11" s="43"/>
      <c r="O11" s="44" t="s">
        <v>67</v>
      </c>
      <c r="P11" s="45">
        <f>G11+J11+M11</f>
        <v>61.8</v>
      </c>
      <c r="Q11" s="105">
        <f>P11+'15'!Q11</f>
        <v>787.3</v>
      </c>
      <c r="R11" s="97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>
      <c r="A12" s="135"/>
      <c r="B12" s="136"/>
      <c r="C12" s="141" t="s">
        <v>84</v>
      </c>
      <c r="D12" s="141"/>
      <c r="E12" s="142"/>
      <c r="F12" s="47">
        <v>30</v>
      </c>
      <c r="G12" s="48">
        <v>9.6999999999999993</v>
      </c>
      <c r="H12" s="48"/>
      <c r="I12" s="49" t="s">
        <v>69</v>
      </c>
      <c r="J12" s="48">
        <v>9.3000000000000007</v>
      </c>
      <c r="K12" s="48"/>
      <c r="L12" s="49" t="s">
        <v>69</v>
      </c>
      <c r="M12" s="48">
        <v>13.3</v>
      </c>
      <c r="N12" s="48"/>
      <c r="O12" s="49" t="s">
        <v>69</v>
      </c>
      <c r="P12" s="50">
        <f t="shared" ref="P12:P32" si="0">G12+J12+M12</f>
        <v>32.299999999999997</v>
      </c>
      <c r="Q12" s="50">
        <f>P12+'15'!Q12</f>
        <v>414.1</v>
      </c>
      <c r="R12" s="99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>
      <c r="A13" s="130"/>
      <c r="B13" s="131"/>
      <c r="C13" s="143" t="s">
        <v>85</v>
      </c>
      <c r="D13" s="143"/>
      <c r="E13" s="144"/>
      <c r="F13" s="52">
        <v>30</v>
      </c>
      <c r="G13" s="53">
        <v>9.9</v>
      </c>
      <c r="H13" s="53"/>
      <c r="I13" s="54" t="s">
        <v>70</v>
      </c>
      <c r="J13" s="53">
        <v>11.3</v>
      </c>
      <c r="K13" s="53"/>
      <c r="L13" s="54" t="s">
        <v>70</v>
      </c>
      <c r="M13" s="53">
        <v>8.6</v>
      </c>
      <c r="N13" s="53"/>
      <c r="O13" s="54" t="s">
        <v>70</v>
      </c>
      <c r="P13" s="55">
        <f t="shared" si="0"/>
        <v>29.800000000000004</v>
      </c>
      <c r="Q13" s="55">
        <f>P13+'15'!Q13</f>
        <v>333.8</v>
      </c>
      <c r="R13" s="99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>
      <c r="A14" s="128">
        <v>102</v>
      </c>
      <c r="B14" s="145"/>
      <c r="C14" s="148" t="s">
        <v>86</v>
      </c>
      <c r="D14" s="149"/>
      <c r="E14" s="150"/>
      <c r="F14" s="56">
        <v>40</v>
      </c>
      <c r="G14" s="57"/>
      <c r="H14" s="58"/>
      <c r="I14" s="59"/>
      <c r="J14" s="60"/>
      <c r="K14" s="58"/>
      <c r="L14" s="59"/>
      <c r="M14" s="60"/>
      <c r="N14" s="58"/>
      <c r="O14" s="59"/>
      <c r="P14" s="61">
        <f t="shared" si="0"/>
        <v>0</v>
      </c>
      <c r="Q14" s="61">
        <f>P14+'15'!Q14</f>
        <v>158.89400000000001</v>
      </c>
      <c r="R14" s="102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>
      <c r="A15" s="146"/>
      <c r="B15" s="147"/>
      <c r="C15" s="151" t="s">
        <v>87</v>
      </c>
      <c r="D15" s="152"/>
      <c r="E15" s="153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50">
        <f t="shared" si="0"/>
        <v>0</v>
      </c>
      <c r="Q15" s="50">
        <f>P15+'15'!Q15</f>
        <v>0</v>
      </c>
      <c r="R15" s="97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>
      <c r="A16" s="146"/>
      <c r="B16" s="147"/>
      <c r="C16" s="154" t="s">
        <v>88</v>
      </c>
      <c r="D16" s="155"/>
      <c r="E16" s="156"/>
      <c r="F16" s="47">
        <f>F14*(2/100)</f>
        <v>0.8</v>
      </c>
      <c r="G16" s="48"/>
      <c r="H16" s="48"/>
      <c r="I16" s="49"/>
      <c r="J16" s="48"/>
      <c r="K16" s="48"/>
      <c r="L16" s="49"/>
      <c r="M16" s="48"/>
      <c r="N16" s="48"/>
      <c r="O16" s="49"/>
      <c r="P16" s="50">
        <f t="shared" si="0"/>
        <v>0</v>
      </c>
      <c r="Q16" s="50">
        <f>P16+'15'!Q16</f>
        <v>12.878699999999998</v>
      </c>
      <c r="R16" s="99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>
      <c r="A17" s="146"/>
      <c r="B17" s="147"/>
      <c r="C17" s="122" t="s">
        <v>89</v>
      </c>
      <c r="D17" s="123"/>
      <c r="E17" s="124"/>
      <c r="F17" s="47">
        <f>F14*12/100</f>
        <v>4.8</v>
      </c>
      <c r="G17" s="48"/>
      <c r="H17" s="48"/>
      <c r="I17" s="49"/>
      <c r="J17" s="48"/>
      <c r="K17" s="48"/>
      <c r="L17" s="49"/>
      <c r="M17" s="48"/>
      <c r="N17" s="48"/>
      <c r="O17" s="49"/>
      <c r="P17" s="50">
        <f t="shared" si="0"/>
        <v>0</v>
      </c>
      <c r="Q17" s="50">
        <f>P17+'15'!Q17</f>
        <v>0.22700000000000001</v>
      </c>
      <c r="R17" s="99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>
      <c r="A18" s="146"/>
      <c r="B18" s="147"/>
      <c r="C18" s="122" t="s">
        <v>90</v>
      </c>
      <c r="D18" s="123"/>
      <c r="E18" s="124"/>
      <c r="F18" s="47" t="s">
        <v>35</v>
      </c>
      <c r="G18" s="48"/>
      <c r="H18" s="48"/>
      <c r="I18" s="49"/>
      <c r="J18" s="48"/>
      <c r="K18" s="48"/>
      <c r="L18" s="49"/>
      <c r="M18" s="48"/>
      <c r="N18" s="48"/>
      <c r="O18" s="49"/>
      <c r="P18" s="50">
        <f t="shared" si="0"/>
        <v>0</v>
      </c>
      <c r="Q18" s="50">
        <f>P18+'15'!Q18</f>
        <v>102.732</v>
      </c>
      <c r="R18" s="99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>
      <c r="A19" s="146"/>
      <c r="B19" s="147"/>
      <c r="C19" s="122" t="s">
        <v>91</v>
      </c>
      <c r="D19" s="123"/>
      <c r="E19" s="124"/>
      <c r="F19" s="47" t="s">
        <v>35</v>
      </c>
      <c r="G19" s="48"/>
      <c r="H19" s="48"/>
      <c r="I19" s="49"/>
      <c r="J19" s="48"/>
      <c r="K19" s="48"/>
      <c r="L19" s="49"/>
      <c r="M19" s="48"/>
      <c r="N19" s="48"/>
      <c r="O19" s="49"/>
      <c r="P19" s="50">
        <f t="shared" si="0"/>
        <v>0</v>
      </c>
      <c r="Q19" s="50">
        <f>P19+'15'!Q19</f>
        <v>34.469000000000001</v>
      </c>
      <c r="R19" s="99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>
      <c r="A20" s="146"/>
      <c r="B20" s="147"/>
      <c r="C20" s="122" t="s">
        <v>92</v>
      </c>
      <c r="D20" s="123"/>
      <c r="E20" s="124"/>
      <c r="F20" s="63" t="s">
        <v>35</v>
      </c>
      <c r="G20" s="48"/>
      <c r="H20" s="48"/>
      <c r="I20" s="49"/>
      <c r="J20" s="48"/>
      <c r="K20" s="48"/>
      <c r="L20" s="49"/>
      <c r="M20" s="48"/>
      <c r="N20" s="48"/>
      <c r="O20" s="49"/>
      <c r="P20" s="50">
        <f t="shared" si="0"/>
        <v>0</v>
      </c>
      <c r="Q20" s="50">
        <f>P20+'15'!Q20</f>
        <v>0.80600000000000005</v>
      </c>
      <c r="R20" s="99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>
      <c r="A21" s="130"/>
      <c r="B21" s="131"/>
      <c r="C21" s="132" t="s">
        <v>93</v>
      </c>
      <c r="D21" s="133"/>
      <c r="E21" s="134"/>
      <c r="F21" s="52">
        <f>F14*(0.5/100)</f>
        <v>0.2</v>
      </c>
      <c r="G21" s="53"/>
      <c r="H21" s="53"/>
      <c r="I21" s="54"/>
      <c r="J21" s="53"/>
      <c r="K21" s="53"/>
      <c r="L21" s="54"/>
      <c r="M21" s="53"/>
      <c r="N21" s="53"/>
      <c r="O21" s="54"/>
      <c r="P21" s="55">
        <f t="shared" si="0"/>
        <v>0</v>
      </c>
      <c r="Q21" s="55">
        <f>P21+'15'!Q21</f>
        <v>7.8379000000000003</v>
      </c>
      <c r="R21" s="99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>
      <c r="A22" s="128" t="s">
        <v>105</v>
      </c>
      <c r="B22" s="129"/>
      <c r="C22" s="119" t="s">
        <v>94</v>
      </c>
      <c r="D22" s="120"/>
      <c r="E22" s="121"/>
      <c r="F22" s="56">
        <v>24</v>
      </c>
      <c r="G22" s="60">
        <v>7.3659999999999997</v>
      </c>
      <c r="H22" s="58"/>
      <c r="I22" s="65" t="s">
        <v>41</v>
      </c>
      <c r="J22" s="60">
        <v>7.1710000000000003</v>
      </c>
      <c r="K22" s="58"/>
      <c r="L22" s="65" t="s">
        <v>41</v>
      </c>
      <c r="M22" s="60">
        <v>6.1479999999999997</v>
      </c>
      <c r="N22" s="58"/>
      <c r="O22" s="65" t="s">
        <v>41</v>
      </c>
      <c r="P22" s="61">
        <f t="shared" si="0"/>
        <v>20.684999999999999</v>
      </c>
      <c r="Q22" s="61">
        <f>P22+'15'!Q22</f>
        <v>151.21</v>
      </c>
      <c r="R22" s="102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>
      <c r="A23" s="130"/>
      <c r="B23" s="131"/>
      <c r="C23" s="132" t="s">
        <v>95</v>
      </c>
      <c r="D23" s="133"/>
      <c r="E23" s="134"/>
      <c r="F23" s="52">
        <v>24</v>
      </c>
      <c r="G23" s="53">
        <v>8.2469999999999999</v>
      </c>
      <c r="H23" s="53"/>
      <c r="I23" s="66" t="s">
        <v>43</v>
      </c>
      <c r="J23" s="53">
        <v>8.0060000000000002</v>
      </c>
      <c r="K23" s="53"/>
      <c r="L23" s="66" t="s">
        <v>43</v>
      </c>
      <c r="M23" s="53">
        <v>7.6959999999999997</v>
      </c>
      <c r="N23" s="53"/>
      <c r="O23" s="66" t="s">
        <v>43</v>
      </c>
      <c r="P23" s="55">
        <f t="shared" si="0"/>
        <v>23.948999999999998</v>
      </c>
      <c r="Q23" s="55">
        <f>P23+'15'!Q23</f>
        <v>144.35900000000001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>
      <c r="A24" s="128" t="s">
        <v>106</v>
      </c>
      <c r="B24" s="129"/>
      <c r="C24" s="119" t="s">
        <v>96</v>
      </c>
      <c r="D24" s="120"/>
      <c r="E24" s="121"/>
      <c r="F24" s="56">
        <v>24</v>
      </c>
      <c r="G24" s="60">
        <v>8.8689999999999998</v>
      </c>
      <c r="H24" s="58"/>
      <c r="I24" s="59" t="s">
        <v>43</v>
      </c>
      <c r="J24" s="60">
        <v>8.8160000000000007</v>
      </c>
      <c r="K24" s="58"/>
      <c r="L24" s="59" t="s">
        <v>43</v>
      </c>
      <c r="M24" s="60">
        <v>8.7919999999999998</v>
      </c>
      <c r="N24" s="58"/>
      <c r="O24" s="59" t="s">
        <v>43</v>
      </c>
      <c r="P24" s="61">
        <f t="shared" si="0"/>
        <v>26.477000000000004</v>
      </c>
      <c r="Q24" s="61">
        <f>P24+'15'!Q24</f>
        <v>187.435</v>
      </c>
      <c r="R24" s="97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>
      <c r="A25" s="135"/>
      <c r="B25" s="136"/>
      <c r="C25" s="122" t="s">
        <v>46</v>
      </c>
      <c r="D25" s="123"/>
      <c r="E25" s="124"/>
      <c r="F25" s="47" t="s">
        <v>35</v>
      </c>
      <c r="G25" s="48">
        <v>0.152</v>
      </c>
      <c r="H25" s="48"/>
      <c r="I25" s="49" t="s">
        <v>77</v>
      </c>
      <c r="J25" s="48">
        <v>0.1535</v>
      </c>
      <c r="K25" s="48"/>
      <c r="L25" s="49" t="s">
        <v>77</v>
      </c>
      <c r="M25" s="48">
        <v>0.152</v>
      </c>
      <c r="N25" s="48"/>
      <c r="O25" s="49" t="s">
        <v>77</v>
      </c>
      <c r="P25" s="50">
        <f t="shared" si="0"/>
        <v>0.45750000000000002</v>
      </c>
      <c r="Q25" s="50">
        <f>P25+'15'!Q25</f>
        <v>5.1344999999999992</v>
      </c>
      <c r="R25" s="99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>
      <c r="A26" s="135"/>
      <c r="B26" s="136"/>
      <c r="C26" s="122" t="s">
        <v>97</v>
      </c>
      <c r="D26" s="123"/>
      <c r="E26" s="124"/>
      <c r="F26" s="47" t="s">
        <v>35</v>
      </c>
      <c r="G26" s="48">
        <v>8.3109999999999999</v>
      </c>
      <c r="H26" s="48"/>
      <c r="I26" s="49" t="s">
        <v>80</v>
      </c>
      <c r="J26" s="48">
        <v>8.3740000000000006</v>
      </c>
      <c r="K26" s="48"/>
      <c r="L26" s="49" t="s">
        <v>80</v>
      </c>
      <c r="M26" s="48">
        <v>8.375</v>
      </c>
      <c r="N26" s="48"/>
      <c r="O26" s="49" t="s">
        <v>80</v>
      </c>
      <c r="P26" s="50">
        <f t="shared" si="0"/>
        <v>25.060000000000002</v>
      </c>
      <c r="Q26" s="50">
        <f>P26+'15'!Q26</f>
        <v>174.34800000000001</v>
      </c>
      <c r="R26" s="99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>
      <c r="A27" s="135"/>
      <c r="B27" s="136"/>
      <c r="C27" s="122" t="s">
        <v>98</v>
      </c>
      <c r="D27" s="123"/>
      <c r="E27" s="124"/>
      <c r="F27" s="47" t="s">
        <v>35</v>
      </c>
      <c r="G27" s="48">
        <v>0</v>
      </c>
      <c r="H27" s="48"/>
      <c r="I27" s="49" t="s">
        <v>79</v>
      </c>
      <c r="J27" s="48">
        <v>0</v>
      </c>
      <c r="K27" s="48"/>
      <c r="L27" s="49" t="s">
        <v>79</v>
      </c>
      <c r="M27" s="48">
        <v>0</v>
      </c>
      <c r="N27" s="48"/>
      <c r="O27" s="49" t="s">
        <v>79</v>
      </c>
      <c r="P27" s="50">
        <f t="shared" si="0"/>
        <v>0</v>
      </c>
      <c r="Q27" s="50">
        <f>P27+'15'!Q27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>
      <c r="A28" s="130"/>
      <c r="B28" s="131"/>
      <c r="C28" s="132" t="s">
        <v>99</v>
      </c>
      <c r="D28" s="133"/>
      <c r="E28" s="134"/>
      <c r="F28" s="52" t="s">
        <v>35</v>
      </c>
      <c r="G28" s="53">
        <v>0.34499999999999997</v>
      </c>
      <c r="H28" s="53"/>
      <c r="I28" s="54" t="s">
        <v>53</v>
      </c>
      <c r="J28" s="53">
        <v>0.28060000000000002</v>
      </c>
      <c r="K28" s="53"/>
      <c r="L28" s="54" t="s">
        <v>53</v>
      </c>
      <c r="M28" s="53">
        <v>0.28100000000000003</v>
      </c>
      <c r="N28" s="53"/>
      <c r="O28" s="54" t="s">
        <v>53</v>
      </c>
      <c r="P28" s="55">
        <f t="shared" si="0"/>
        <v>0.90659999999999996</v>
      </c>
      <c r="Q28" s="55">
        <f>P28+'15'!Q28</f>
        <v>8.8978000000000002</v>
      </c>
      <c r="R28" s="97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>
      <c r="A29" s="113">
        <v>104</v>
      </c>
      <c r="B29" s="114"/>
      <c r="C29" s="119" t="s">
        <v>100</v>
      </c>
      <c r="D29" s="120"/>
      <c r="E29" s="121"/>
      <c r="F29" s="56"/>
      <c r="G29" s="60"/>
      <c r="H29" s="58"/>
      <c r="I29" s="59"/>
      <c r="J29" s="60">
        <v>12.641</v>
      </c>
      <c r="K29" s="58"/>
      <c r="L29" s="59" t="s">
        <v>55</v>
      </c>
      <c r="M29" s="60"/>
      <c r="N29" s="58"/>
      <c r="O29" s="59"/>
      <c r="P29" s="61">
        <f t="shared" si="0"/>
        <v>12.641</v>
      </c>
      <c r="Q29" s="61">
        <f>P29+'15'!Q29</f>
        <v>124.24600000000002</v>
      </c>
      <c r="R29" s="102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>
      <c r="A30" s="115"/>
      <c r="B30" s="116"/>
      <c r="C30" s="122" t="s">
        <v>102</v>
      </c>
      <c r="D30" s="123"/>
      <c r="E30" s="124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50">
        <f t="shared" si="0"/>
        <v>0</v>
      </c>
      <c r="Q30" s="50">
        <f>P30+'15'!Q30</f>
        <v>0</v>
      </c>
      <c r="R30" s="99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>
      <c r="A31" s="115"/>
      <c r="B31" s="116"/>
      <c r="C31" s="122" t="s">
        <v>101</v>
      </c>
      <c r="D31" s="123"/>
      <c r="E31" s="124"/>
      <c r="F31" s="47"/>
      <c r="G31" s="48"/>
      <c r="H31" s="48"/>
      <c r="I31" s="49"/>
      <c r="J31" s="48">
        <v>2.4689999999999999</v>
      </c>
      <c r="K31" s="48"/>
      <c r="L31" s="49" t="s">
        <v>58</v>
      </c>
      <c r="M31" s="48"/>
      <c r="N31" s="48"/>
      <c r="O31" s="49"/>
      <c r="P31" s="50">
        <f t="shared" si="0"/>
        <v>2.4689999999999999</v>
      </c>
      <c r="Q31" s="50">
        <f>P31+'15'!Q31</f>
        <v>24.67</v>
      </c>
      <c r="R31" s="99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>
      <c r="A32" s="115"/>
      <c r="B32" s="116"/>
      <c r="C32" s="122" t="s">
        <v>103</v>
      </c>
      <c r="D32" s="123"/>
      <c r="E32" s="124"/>
      <c r="F32" s="47"/>
      <c r="G32" s="48"/>
      <c r="H32" s="48"/>
      <c r="I32" s="49"/>
      <c r="J32" s="48"/>
      <c r="K32" s="48"/>
      <c r="L32" s="49"/>
      <c r="M32" s="49"/>
      <c r="N32" s="48"/>
      <c r="O32" s="49"/>
      <c r="P32" s="50">
        <f t="shared" si="0"/>
        <v>0</v>
      </c>
      <c r="Q32" s="50">
        <f>P32+'15'!Q32</f>
        <v>138.565</v>
      </c>
      <c r="R32" s="99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>
      <c r="A33" s="117"/>
      <c r="B33" s="118"/>
      <c r="C33" s="125" t="s">
        <v>104</v>
      </c>
      <c r="D33" s="126"/>
      <c r="E33" s="127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72">
        <f>G33+J33+M33</f>
        <v>0</v>
      </c>
      <c r="Q33" s="72">
        <f>P33+'15'!Q33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/>
    <row r="35" spans="1:26" ht="14.1" customHeight="1"/>
    <row r="36" spans="1:26" ht="14.1" customHeight="1"/>
    <row r="37" spans="1:26" ht="14.1" customHeight="1"/>
    <row r="38" spans="1:26" ht="14.1" customHeight="1"/>
    <row r="39" spans="1:26" ht="14.1" customHeight="1"/>
    <row r="40" spans="1:26" ht="14.1" customHeight="1"/>
    <row r="41" spans="1:26" ht="14.1" customHeight="1"/>
    <row r="42" spans="1:26" ht="14.1" customHeight="1"/>
    <row r="43" spans="1:26" ht="14.1" customHeight="1"/>
    <row r="44" spans="1:26" ht="14.1" customHeight="1"/>
    <row r="45" spans="1:26" ht="14.1" customHeight="1"/>
    <row r="46" spans="1:26" ht="14.1" customHeight="1"/>
    <row r="47" spans="1:26" ht="14.1" customHeight="1"/>
    <row r="48" spans="1:26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  <row r="58" ht="14.1" customHeight="1"/>
    <row r="59" ht="14.1" customHeight="1"/>
    <row r="60" ht="14.1" customHeight="1"/>
    <row r="61" ht="14.1" customHeight="1"/>
    <row r="62" ht="14.1" customHeight="1"/>
    <row r="63" ht="14.1" customHeight="1"/>
    <row r="64" ht="14.1" customHeight="1"/>
    <row r="65" ht="14.1" customHeight="1"/>
    <row r="66" ht="14.1" customHeight="1"/>
    <row r="67" ht="14.1" customHeight="1"/>
    <row r="68" ht="15" customHeight="1"/>
    <row r="69" ht="12.95" customHeight="1"/>
    <row r="70" ht="14.1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4.1" customHeight="1"/>
    <row r="122" ht="14.1" customHeight="1"/>
    <row r="123" ht="14.1" customHeight="1"/>
    <row r="124" ht="14.1" customHeight="1"/>
    <row r="125" ht="14.1" customHeight="1"/>
    <row r="126" ht="10.5" customHeight="1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67299E1F-C4FD-4192-B9C0-F28A94437D6A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09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209550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0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209550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1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209550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2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46053-01D9-495E-9024-6274F2DCFBEA}">
  <sheetPr codeName="Sheet20"/>
  <dimension ref="A1:Z126"/>
  <sheetViews>
    <sheetView showGridLines="0" zoomScale="85" zoomScaleNormal="85" zoomScaleSheetLayoutView="113" workbookViewId="0">
      <selection activeCell="A11" sqref="A11:E33"/>
    </sheetView>
  </sheetViews>
  <sheetFormatPr defaultColWidth="10.140625" defaultRowHeight="1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7.8554687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6" width="8.42578125" customWidth="1"/>
    <col min="17" max="17" width="9.140625" customWidth="1"/>
    <col min="18" max="18" width="8.42578125" customWidth="1"/>
    <col min="27" max="16384" width="10.140625" style="9"/>
  </cols>
  <sheetData>
    <row r="1" spans="1:26" ht="15" customHeight="1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>
      <c r="A2" s="10"/>
      <c r="B2" s="10"/>
      <c r="C2" s="10"/>
      <c r="D2" s="10"/>
      <c r="E2" s="10"/>
      <c r="F2" s="10"/>
      <c r="G2" s="173"/>
      <c r="H2" s="173"/>
      <c r="I2" s="173"/>
      <c r="J2" s="173"/>
      <c r="K2" s="173"/>
      <c r="L2" s="173"/>
      <c r="M2" s="10"/>
      <c r="N2" s="11"/>
      <c r="O2" s="174"/>
      <c r="P2" s="174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>
      <c r="A3" s="10"/>
      <c r="B3" s="10"/>
      <c r="C3" s="10"/>
      <c r="D3" s="10"/>
      <c r="E3" s="10"/>
      <c r="F3" s="10"/>
      <c r="G3" s="173"/>
      <c r="H3" s="173"/>
      <c r="I3" s="173"/>
      <c r="J3" s="173"/>
      <c r="K3" s="173"/>
      <c r="L3" s="173"/>
      <c r="M3" s="10"/>
      <c r="N3" s="11"/>
      <c r="O3" s="174"/>
      <c r="P3" s="174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>
      <c r="A4" s="10"/>
      <c r="B4" s="10"/>
      <c r="C4" s="10"/>
      <c r="D4" s="10"/>
      <c r="E4" s="10"/>
      <c r="F4" s="10"/>
      <c r="G4" s="173"/>
      <c r="H4" s="173"/>
      <c r="I4" s="173"/>
      <c r="J4" s="173"/>
      <c r="K4" s="173"/>
      <c r="L4" s="173"/>
      <c r="M4" s="10"/>
      <c r="N4" s="11"/>
      <c r="O4" s="174"/>
      <c r="P4" s="174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>
      <c r="A5" s="169" t="s">
        <v>8</v>
      </c>
      <c r="B5" s="169"/>
      <c r="C5" s="16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>
      <c r="A6" s="169" t="s">
        <v>10</v>
      </c>
      <c r="B6" s="169"/>
      <c r="C6" s="169"/>
      <c r="D6" s="179">
        <f>'16'!D6+1</f>
        <v>46070</v>
      </c>
      <c r="E6" s="179"/>
      <c r="F6" s="28"/>
      <c r="G6" s="171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>
      <c r="A8" s="175" t="s">
        <v>11</v>
      </c>
      <c r="B8" s="175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9"/>
      <c r="T8" s="9"/>
      <c r="U8" s="9"/>
      <c r="V8" s="9"/>
      <c r="W8" s="9"/>
      <c r="X8" s="9"/>
      <c r="Y8" s="9"/>
      <c r="Z8" s="9"/>
    </row>
    <row r="9" spans="1:26" ht="24.95" customHeight="1">
      <c r="A9" s="158" t="s">
        <v>12</v>
      </c>
      <c r="B9" s="159"/>
      <c r="C9" s="162" t="s">
        <v>13</v>
      </c>
      <c r="D9" s="162"/>
      <c r="E9" s="163"/>
      <c r="F9" s="20" t="s">
        <v>14</v>
      </c>
      <c r="G9" s="166" t="s">
        <v>15</v>
      </c>
      <c r="H9" s="167"/>
      <c r="I9" s="21" t="s">
        <v>16</v>
      </c>
      <c r="J9" s="166" t="s">
        <v>17</v>
      </c>
      <c r="K9" s="167"/>
      <c r="L9" s="21" t="s">
        <v>16</v>
      </c>
      <c r="M9" s="166" t="s">
        <v>18</v>
      </c>
      <c r="N9" s="167"/>
      <c r="O9" s="22" t="s">
        <v>16</v>
      </c>
      <c r="P9" s="167" t="s">
        <v>19</v>
      </c>
      <c r="Q9" s="167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>
      <c r="A10" s="160"/>
      <c r="B10" s="161"/>
      <c r="C10" s="164"/>
      <c r="D10" s="164"/>
      <c r="E10" s="165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68"/>
      <c r="Q10" s="168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>
      <c r="A11" s="137">
        <v>101</v>
      </c>
      <c r="B11" s="138"/>
      <c r="C11" s="139" t="s">
        <v>83</v>
      </c>
      <c r="D11" s="139"/>
      <c r="E11" s="140"/>
      <c r="F11" s="41">
        <v>60</v>
      </c>
      <c r="G11" s="42">
        <v>18.5</v>
      </c>
      <c r="H11" s="43"/>
      <c r="I11" s="44" t="s">
        <v>67</v>
      </c>
      <c r="J11" s="42">
        <v>23.4</v>
      </c>
      <c r="K11" s="43"/>
      <c r="L11" s="44" t="s">
        <v>67</v>
      </c>
      <c r="M11" s="42">
        <v>22.7</v>
      </c>
      <c r="N11" s="43"/>
      <c r="O11" s="44" t="s">
        <v>67</v>
      </c>
      <c r="P11" s="45">
        <f>G11+J11+M11</f>
        <v>64.599999999999994</v>
      </c>
      <c r="Q11" s="105">
        <f>P11+'16'!Q11</f>
        <v>851.9</v>
      </c>
      <c r="R11" s="97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>
      <c r="A12" s="135"/>
      <c r="B12" s="136"/>
      <c r="C12" s="141" t="s">
        <v>84</v>
      </c>
      <c r="D12" s="141"/>
      <c r="E12" s="142"/>
      <c r="F12" s="47">
        <v>30</v>
      </c>
      <c r="G12" s="48">
        <v>9.3000000000000007</v>
      </c>
      <c r="H12" s="48"/>
      <c r="I12" s="49" t="s">
        <v>69</v>
      </c>
      <c r="J12" s="48">
        <v>9</v>
      </c>
      <c r="K12" s="48"/>
      <c r="L12" s="49" t="s">
        <v>69</v>
      </c>
      <c r="M12" s="48">
        <v>16.8</v>
      </c>
      <c r="N12" s="48"/>
      <c r="O12" s="49" t="s">
        <v>69</v>
      </c>
      <c r="P12" s="50">
        <f t="shared" ref="P12:P32" si="0">G12+J12+M12</f>
        <v>35.1</v>
      </c>
      <c r="Q12" s="50">
        <f>P12+'16'!Q12</f>
        <v>449.20000000000005</v>
      </c>
      <c r="R12" s="99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>
      <c r="A13" s="130"/>
      <c r="B13" s="131"/>
      <c r="C13" s="143" t="s">
        <v>85</v>
      </c>
      <c r="D13" s="143"/>
      <c r="E13" s="144"/>
      <c r="F13" s="52">
        <v>30</v>
      </c>
      <c r="G13" s="53">
        <v>10</v>
      </c>
      <c r="H13" s="53"/>
      <c r="I13" s="54" t="s">
        <v>70</v>
      </c>
      <c r="J13" s="53">
        <v>12.8</v>
      </c>
      <c r="K13" s="53"/>
      <c r="L13" s="54" t="s">
        <v>70</v>
      </c>
      <c r="M13" s="53">
        <v>5.9</v>
      </c>
      <c r="N13" s="53"/>
      <c r="O13" s="54" t="s">
        <v>70</v>
      </c>
      <c r="P13" s="55">
        <f t="shared" si="0"/>
        <v>28.700000000000003</v>
      </c>
      <c r="Q13" s="50">
        <f>P13+'16'!Q13</f>
        <v>362.5</v>
      </c>
      <c r="R13" s="99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>
      <c r="A14" s="128">
        <v>102</v>
      </c>
      <c r="B14" s="145"/>
      <c r="C14" s="148" t="s">
        <v>86</v>
      </c>
      <c r="D14" s="149"/>
      <c r="E14" s="150"/>
      <c r="F14" s="56">
        <v>40</v>
      </c>
      <c r="G14" s="57"/>
      <c r="H14" s="58"/>
      <c r="I14" s="59"/>
      <c r="J14" s="60"/>
      <c r="K14" s="58"/>
      <c r="L14" s="59"/>
      <c r="M14" s="60"/>
      <c r="N14" s="58"/>
      <c r="O14" s="59"/>
      <c r="P14" s="61">
        <f t="shared" si="0"/>
        <v>0</v>
      </c>
      <c r="Q14" s="50">
        <f>P14+'16'!Q14</f>
        <v>158.89400000000001</v>
      </c>
      <c r="R14" s="102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>
      <c r="A15" s="146"/>
      <c r="B15" s="147"/>
      <c r="C15" s="151" t="s">
        <v>87</v>
      </c>
      <c r="D15" s="152"/>
      <c r="E15" s="153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50">
        <f t="shared" si="0"/>
        <v>0</v>
      </c>
      <c r="Q15" s="50">
        <f>P15+'16'!Q15</f>
        <v>0</v>
      </c>
      <c r="R15" s="97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>
      <c r="A16" s="146"/>
      <c r="B16" s="147"/>
      <c r="C16" s="154" t="s">
        <v>88</v>
      </c>
      <c r="D16" s="155"/>
      <c r="E16" s="156"/>
      <c r="F16" s="47">
        <f>F14*(2/100)</f>
        <v>0.8</v>
      </c>
      <c r="G16" s="48"/>
      <c r="H16" s="48"/>
      <c r="I16" s="49"/>
      <c r="J16" s="48"/>
      <c r="K16" s="48"/>
      <c r="L16" s="49"/>
      <c r="M16" s="48"/>
      <c r="N16" s="48"/>
      <c r="O16" s="49"/>
      <c r="P16" s="50">
        <f t="shared" si="0"/>
        <v>0</v>
      </c>
      <c r="Q16" s="50">
        <f>P16+'16'!Q16</f>
        <v>12.878699999999998</v>
      </c>
      <c r="R16" s="99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>
      <c r="A17" s="146"/>
      <c r="B17" s="147"/>
      <c r="C17" s="122" t="s">
        <v>89</v>
      </c>
      <c r="D17" s="123"/>
      <c r="E17" s="124"/>
      <c r="F17" s="47">
        <f>F14*12/100</f>
        <v>4.8</v>
      </c>
      <c r="G17" s="48"/>
      <c r="H17" s="48"/>
      <c r="I17" s="49"/>
      <c r="J17" s="48"/>
      <c r="K17" s="48"/>
      <c r="L17" s="49"/>
      <c r="M17" s="48"/>
      <c r="N17" s="48"/>
      <c r="O17" s="49"/>
      <c r="P17" s="50">
        <f t="shared" si="0"/>
        <v>0</v>
      </c>
      <c r="Q17" s="50">
        <f>P17+'16'!Q17</f>
        <v>0.22700000000000001</v>
      </c>
      <c r="R17" s="99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>
      <c r="A18" s="146"/>
      <c r="B18" s="147"/>
      <c r="C18" s="122" t="s">
        <v>90</v>
      </c>
      <c r="D18" s="123"/>
      <c r="E18" s="124"/>
      <c r="F18" s="47" t="s">
        <v>35</v>
      </c>
      <c r="G18" s="48"/>
      <c r="H18" s="48"/>
      <c r="I18" s="49"/>
      <c r="J18" s="48"/>
      <c r="K18" s="48"/>
      <c r="L18" s="49"/>
      <c r="M18" s="48"/>
      <c r="N18" s="48"/>
      <c r="O18" s="49"/>
      <c r="P18" s="50">
        <f t="shared" si="0"/>
        <v>0</v>
      </c>
      <c r="Q18" s="50">
        <f>P18+'16'!Q18</f>
        <v>102.732</v>
      </c>
      <c r="R18" s="99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>
      <c r="A19" s="146"/>
      <c r="B19" s="147"/>
      <c r="C19" s="122" t="s">
        <v>91</v>
      </c>
      <c r="D19" s="123"/>
      <c r="E19" s="124"/>
      <c r="F19" s="47" t="s">
        <v>35</v>
      </c>
      <c r="G19" s="48"/>
      <c r="H19" s="48"/>
      <c r="I19" s="49"/>
      <c r="J19" s="48"/>
      <c r="K19" s="48"/>
      <c r="L19" s="49"/>
      <c r="M19" s="48"/>
      <c r="N19" s="48"/>
      <c r="O19" s="49"/>
      <c r="P19" s="50">
        <f t="shared" si="0"/>
        <v>0</v>
      </c>
      <c r="Q19" s="50">
        <f>P19+'16'!Q19</f>
        <v>34.469000000000001</v>
      </c>
      <c r="R19" s="99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>
      <c r="A20" s="146"/>
      <c r="B20" s="147"/>
      <c r="C20" s="122" t="s">
        <v>92</v>
      </c>
      <c r="D20" s="123"/>
      <c r="E20" s="124"/>
      <c r="F20" s="63" t="s">
        <v>35</v>
      </c>
      <c r="G20" s="48"/>
      <c r="H20" s="48"/>
      <c r="I20" s="49"/>
      <c r="J20" s="48"/>
      <c r="K20" s="48"/>
      <c r="L20" s="49"/>
      <c r="M20" s="48"/>
      <c r="N20" s="48"/>
      <c r="O20" s="49"/>
      <c r="P20" s="50">
        <f t="shared" si="0"/>
        <v>0</v>
      </c>
      <c r="Q20" s="50">
        <f>P20+'16'!Q20</f>
        <v>0.80600000000000005</v>
      </c>
      <c r="R20" s="99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>
      <c r="A21" s="130"/>
      <c r="B21" s="131"/>
      <c r="C21" s="132" t="s">
        <v>93</v>
      </c>
      <c r="D21" s="133"/>
      <c r="E21" s="134"/>
      <c r="F21" s="52">
        <f>F14*(0.5/100)</f>
        <v>0.2</v>
      </c>
      <c r="G21" s="53"/>
      <c r="H21" s="53"/>
      <c r="I21" s="54"/>
      <c r="J21" s="53"/>
      <c r="K21" s="53"/>
      <c r="L21" s="54"/>
      <c r="M21" s="53"/>
      <c r="N21" s="53"/>
      <c r="O21" s="54"/>
      <c r="P21" s="55">
        <f t="shared" si="0"/>
        <v>0</v>
      </c>
      <c r="Q21" s="50">
        <f>P21+'16'!Q21</f>
        <v>7.8379000000000003</v>
      </c>
      <c r="R21" s="99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>
      <c r="A22" s="128" t="s">
        <v>105</v>
      </c>
      <c r="B22" s="129"/>
      <c r="C22" s="119" t="s">
        <v>94</v>
      </c>
      <c r="D22" s="120"/>
      <c r="E22" s="121"/>
      <c r="F22" s="56">
        <v>24</v>
      </c>
      <c r="G22" s="60">
        <v>7.4720000000000004</v>
      </c>
      <c r="H22" s="58"/>
      <c r="I22" s="65" t="s">
        <v>41</v>
      </c>
      <c r="J22" s="60">
        <v>8.8179999999999996</v>
      </c>
      <c r="K22" s="58"/>
      <c r="L22" s="65" t="s">
        <v>41</v>
      </c>
      <c r="M22" s="60">
        <v>8.8209999999999997</v>
      </c>
      <c r="N22" s="58"/>
      <c r="O22" s="65" t="s">
        <v>41</v>
      </c>
      <c r="P22" s="61">
        <f t="shared" si="0"/>
        <v>25.110999999999997</v>
      </c>
      <c r="Q22" s="50">
        <f>P22+'16'!Q22</f>
        <v>176.321</v>
      </c>
      <c r="R22" s="102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>
      <c r="A23" s="130"/>
      <c r="B23" s="131"/>
      <c r="C23" s="132" t="s">
        <v>95</v>
      </c>
      <c r="D23" s="133"/>
      <c r="E23" s="134"/>
      <c r="F23" s="52">
        <v>24</v>
      </c>
      <c r="G23" s="53">
        <v>8.0709999999999997</v>
      </c>
      <c r="H23" s="53"/>
      <c r="I23" s="66" t="s">
        <v>43</v>
      </c>
      <c r="J23" s="53">
        <v>8.4670000000000005</v>
      </c>
      <c r="K23" s="53"/>
      <c r="L23" s="66" t="s">
        <v>43</v>
      </c>
      <c r="M23" s="53">
        <v>8.8610000000000007</v>
      </c>
      <c r="N23" s="53"/>
      <c r="O23" s="66" t="s">
        <v>43</v>
      </c>
      <c r="P23" s="55">
        <f t="shared" si="0"/>
        <v>25.399000000000001</v>
      </c>
      <c r="Q23" s="50">
        <f>P23+'16'!Q23</f>
        <v>169.75800000000001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>
      <c r="A24" s="128" t="s">
        <v>106</v>
      </c>
      <c r="B24" s="129"/>
      <c r="C24" s="119" t="s">
        <v>96</v>
      </c>
      <c r="D24" s="120"/>
      <c r="E24" s="121"/>
      <c r="F24" s="56">
        <v>24</v>
      </c>
      <c r="G24" s="60">
        <v>8.827</v>
      </c>
      <c r="H24" s="58"/>
      <c r="I24" s="59" t="s">
        <v>43</v>
      </c>
      <c r="J24" s="60">
        <v>8.7899999999999991</v>
      </c>
      <c r="K24" s="58"/>
      <c r="L24" s="59" t="s">
        <v>43</v>
      </c>
      <c r="M24" s="60">
        <v>8.7919999999999998</v>
      </c>
      <c r="N24" s="58"/>
      <c r="O24" s="59" t="s">
        <v>43</v>
      </c>
      <c r="P24" s="61">
        <f t="shared" si="0"/>
        <v>26.408999999999999</v>
      </c>
      <c r="Q24" s="50">
        <f>P24+'16'!Q24</f>
        <v>213.84399999999999</v>
      </c>
      <c r="R24" s="97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>
      <c r="A25" s="135"/>
      <c r="B25" s="136"/>
      <c r="C25" s="122" t="s">
        <v>46</v>
      </c>
      <c r="D25" s="123"/>
      <c r="E25" s="124"/>
      <c r="F25" s="47" t="s">
        <v>35</v>
      </c>
      <c r="G25" s="48">
        <v>0.152</v>
      </c>
      <c r="H25" s="48"/>
      <c r="I25" s="49" t="s">
        <v>77</v>
      </c>
      <c r="J25" s="48">
        <v>0.15260000000000001</v>
      </c>
      <c r="K25" s="48"/>
      <c r="L25" s="49" t="s">
        <v>77</v>
      </c>
      <c r="M25" s="48">
        <v>0.152</v>
      </c>
      <c r="N25" s="48"/>
      <c r="O25" s="49" t="s">
        <v>77</v>
      </c>
      <c r="P25" s="50">
        <f t="shared" si="0"/>
        <v>0.45660000000000001</v>
      </c>
      <c r="Q25" s="50">
        <f>P25+'16'!Q25</f>
        <v>5.5910999999999991</v>
      </c>
      <c r="R25" s="99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>
      <c r="A26" s="135"/>
      <c r="B26" s="136"/>
      <c r="C26" s="122" t="s">
        <v>97</v>
      </c>
      <c r="D26" s="123"/>
      <c r="E26" s="124"/>
      <c r="F26" s="47" t="s">
        <v>35</v>
      </c>
      <c r="G26" s="48">
        <v>8.3789999999999996</v>
      </c>
      <c r="H26" s="48"/>
      <c r="I26" s="49" t="s">
        <v>80</v>
      </c>
      <c r="J26" s="48">
        <v>8.391</v>
      </c>
      <c r="K26" s="48"/>
      <c r="L26" s="49" t="s">
        <v>80</v>
      </c>
      <c r="M26" s="48">
        <v>8.3979999999999997</v>
      </c>
      <c r="N26" s="48"/>
      <c r="O26" s="49" t="s">
        <v>80</v>
      </c>
      <c r="P26" s="50">
        <f t="shared" si="0"/>
        <v>25.167999999999999</v>
      </c>
      <c r="Q26" s="50">
        <f>P26+'16'!Q26</f>
        <v>199.51600000000002</v>
      </c>
      <c r="R26" s="99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>
      <c r="A27" s="135"/>
      <c r="B27" s="136"/>
      <c r="C27" s="122" t="s">
        <v>98</v>
      </c>
      <c r="D27" s="123"/>
      <c r="E27" s="124"/>
      <c r="F27" s="47" t="s">
        <v>35</v>
      </c>
      <c r="G27" s="48">
        <v>0</v>
      </c>
      <c r="H27" s="48"/>
      <c r="I27" s="49" t="s">
        <v>79</v>
      </c>
      <c r="J27" s="48">
        <v>0</v>
      </c>
      <c r="K27" s="48"/>
      <c r="L27" s="49" t="s">
        <v>79</v>
      </c>
      <c r="M27" s="48">
        <v>0</v>
      </c>
      <c r="N27" s="48"/>
      <c r="O27" s="49" t="s">
        <v>79</v>
      </c>
      <c r="P27" s="50">
        <f t="shared" si="0"/>
        <v>0</v>
      </c>
      <c r="Q27" s="50">
        <f>P27+'16'!Q27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>
      <c r="A28" s="130"/>
      <c r="B28" s="131"/>
      <c r="C28" s="132" t="s">
        <v>99</v>
      </c>
      <c r="D28" s="133"/>
      <c r="E28" s="134"/>
      <c r="F28" s="52" t="s">
        <v>35</v>
      </c>
      <c r="G28" s="53">
        <v>0.27500000000000002</v>
      </c>
      <c r="H28" s="53"/>
      <c r="I28" s="54" t="s">
        <v>53</v>
      </c>
      <c r="J28" s="53">
        <v>0.2646</v>
      </c>
      <c r="K28" s="53"/>
      <c r="L28" s="54" t="s">
        <v>53</v>
      </c>
      <c r="M28" s="53">
        <v>0.25700000000000001</v>
      </c>
      <c r="N28" s="53"/>
      <c r="O28" s="54" t="s">
        <v>53</v>
      </c>
      <c r="P28" s="55">
        <f t="shared" si="0"/>
        <v>0.79660000000000009</v>
      </c>
      <c r="Q28" s="50">
        <f>P28+'16'!Q28</f>
        <v>9.6943999999999999</v>
      </c>
      <c r="R28" s="97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>
      <c r="A29" s="113">
        <v>104</v>
      </c>
      <c r="B29" s="114"/>
      <c r="C29" s="119" t="s">
        <v>100</v>
      </c>
      <c r="D29" s="120"/>
      <c r="E29" s="121"/>
      <c r="F29" s="56"/>
      <c r="G29" s="60"/>
      <c r="H29" s="58"/>
      <c r="I29" s="59"/>
      <c r="J29" s="60">
        <v>12.446</v>
      </c>
      <c r="K29" s="58"/>
      <c r="L29" s="59" t="s">
        <v>55</v>
      </c>
      <c r="M29" s="60"/>
      <c r="N29" s="58"/>
      <c r="O29" s="59"/>
      <c r="P29" s="61">
        <f t="shared" si="0"/>
        <v>12.446</v>
      </c>
      <c r="Q29" s="50">
        <f>P29+'16'!Q29</f>
        <v>136.69200000000004</v>
      </c>
      <c r="R29" s="102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>
      <c r="A30" s="115"/>
      <c r="B30" s="116"/>
      <c r="C30" s="122" t="s">
        <v>102</v>
      </c>
      <c r="D30" s="123"/>
      <c r="E30" s="124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50">
        <f t="shared" si="0"/>
        <v>0</v>
      </c>
      <c r="Q30" s="50">
        <f>P30+'16'!Q30</f>
        <v>0</v>
      </c>
      <c r="R30" s="99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>
      <c r="A31" s="115"/>
      <c r="B31" s="116"/>
      <c r="C31" s="122" t="s">
        <v>101</v>
      </c>
      <c r="D31" s="123"/>
      <c r="E31" s="124"/>
      <c r="F31" s="47"/>
      <c r="G31" s="48"/>
      <c r="H31" s="48"/>
      <c r="I31" s="49"/>
      <c r="J31" s="48">
        <v>2.4670000000000001</v>
      </c>
      <c r="K31" s="48"/>
      <c r="L31" s="49" t="s">
        <v>58</v>
      </c>
      <c r="M31" s="48"/>
      <c r="N31" s="48"/>
      <c r="O31" s="49"/>
      <c r="P31" s="50">
        <f t="shared" si="0"/>
        <v>2.4670000000000001</v>
      </c>
      <c r="Q31" s="50">
        <f>P31+'16'!Q31</f>
        <v>27.137</v>
      </c>
      <c r="R31" s="99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>
      <c r="A32" s="115"/>
      <c r="B32" s="116"/>
      <c r="C32" s="122" t="s">
        <v>103</v>
      </c>
      <c r="D32" s="123"/>
      <c r="E32" s="124"/>
      <c r="F32" s="47"/>
      <c r="G32" s="48"/>
      <c r="H32" s="48"/>
      <c r="I32" s="49"/>
      <c r="J32" s="48"/>
      <c r="K32" s="48"/>
      <c r="L32" s="49"/>
      <c r="M32" s="49"/>
      <c r="N32" s="48"/>
      <c r="O32" s="49"/>
      <c r="P32" s="50">
        <f t="shared" si="0"/>
        <v>0</v>
      </c>
      <c r="Q32" s="50">
        <f>P32+'16'!Q32</f>
        <v>138.565</v>
      </c>
      <c r="R32" s="99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>
      <c r="A33" s="117"/>
      <c r="B33" s="118"/>
      <c r="C33" s="125" t="s">
        <v>104</v>
      </c>
      <c r="D33" s="126"/>
      <c r="E33" s="127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72">
        <f>G33+J33+M33</f>
        <v>0</v>
      </c>
      <c r="Q33" s="72">
        <f>P33+'16'!Q33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/>
    <row r="35" spans="1:26" ht="14.1" customHeight="1"/>
    <row r="36" spans="1:26" ht="14.1" customHeight="1"/>
    <row r="37" spans="1:26" ht="14.1" customHeight="1"/>
    <row r="38" spans="1:26" ht="14.1" customHeight="1"/>
    <row r="39" spans="1:26" ht="14.1" customHeight="1"/>
    <row r="40" spans="1:26" ht="14.1" customHeight="1"/>
    <row r="41" spans="1:26" ht="14.1" customHeight="1"/>
    <row r="42" spans="1:26" ht="14.1" customHeight="1"/>
    <row r="43" spans="1:26" ht="14.1" customHeight="1"/>
    <row r="44" spans="1:26" ht="14.1" customHeight="1"/>
    <row r="45" spans="1:26" ht="14.1" customHeight="1"/>
    <row r="46" spans="1:26" ht="14.1" customHeight="1"/>
    <row r="47" spans="1:26" ht="14.1" customHeight="1"/>
    <row r="48" spans="1:26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  <row r="58" ht="14.1" customHeight="1"/>
    <row r="59" ht="14.1" customHeight="1"/>
    <row r="60" ht="14.1" customHeight="1"/>
    <row r="61" ht="14.1" customHeight="1"/>
    <row r="62" ht="14.1" customHeight="1"/>
    <row r="63" ht="14.1" customHeight="1"/>
    <row r="64" ht="14.1" customHeight="1"/>
    <row r="65" ht="14.1" customHeight="1"/>
    <row r="66" ht="14.1" customHeight="1"/>
    <row r="67" ht="14.1" customHeight="1"/>
    <row r="68" ht="15" customHeight="1"/>
    <row r="69" ht="12.95" customHeight="1"/>
    <row r="70" ht="14.1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4.1" customHeight="1"/>
    <row r="122" ht="14.1" customHeight="1"/>
    <row r="123" ht="14.1" customHeight="1"/>
    <row r="124" ht="14.1" customHeight="1"/>
    <row r="125" ht="14.1" customHeight="1"/>
    <row r="126" ht="10.5" customHeight="1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72A74864-24A7-4071-8AA2-55AA6E234AF6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3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209550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4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209550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5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209550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6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6E880-BE02-41BA-97B5-825663FBEB13}">
  <sheetPr codeName="Sheet21"/>
  <dimension ref="A1:Z126"/>
  <sheetViews>
    <sheetView showGridLines="0" zoomScale="85" zoomScaleNormal="85" zoomScaleSheetLayoutView="113" workbookViewId="0">
      <selection activeCell="A11" sqref="A11:E33"/>
    </sheetView>
  </sheetViews>
  <sheetFormatPr defaultColWidth="10.140625" defaultRowHeight="1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7.8554687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6" width="8.42578125" customWidth="1"/>
    <col min="17" max="17" width="10" customWidth="1"/>
    <col min="18" max="18" width="8.42578125" customWidth="1"/>
    <col min="27" max="16384" width="10.140625" style="9"/>
  </cols>
  <sheetData>
    <row r="1" spans="1:26" ht="15" customHeight="1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>
      <c r="A2" s="10"/>
      <c r="B2" s="10"/>
      <c r="C2" s="10"/>
      <c r="D2" s="10"/>
      <c r="E2" s="10"/>
      <c r="F2" s="10"/>
      <c r="G2" s="173"/>
      <c r="H2" s="173"/>
      <c r="I2" s="173"/>
      <c r="J2" s="173"/>
      <c r="K2" s="173"/>
      <c r="L2" s="173"/>
      <c r="M2" s="10"/>
      <c r="N2" s="11"/>
      <c r="O2" s="174"/>
      <c r="P2" s="174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>
      <c r="A3" s="10"/>
      <c r="B3" s="10"/>
      <c r="C3" s="10"/>
      <c r="D3" s="10"/>
      <c r="E3" s="10"/>
      <c r="F3" s="10"/>
      <c r="G3" s="173"/>
      <c r="H3" s="173"/>
      <c r="I3" s="173"/>
      <c r="J3" s="173"/>
      <c r="K3" s="173"/>
      <c r="L3" s="173"/>
      <c r="M3" s="10"/>
      <c r="N3" s="11"/>
      <c r="O3" s="174"/>
      <c r="P3" s="174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>
      <c r="A4" s="10"/>
      <c r="B4" s="10"/>
      <c r="C4" s="10"/>
      <c r="D4" s="10"/>
      <c r="E4" s="10"/>
      <c r="F4" s="10"/>
      <c r="G4" s="173"/>
      <c r="H4" s="173"/>
      <c r="I4" s="173"/>
      <c r="J4" s="173"/>
      <c r="K4" s="173"/>
      <c r="L4" s="173"/>
      <c r="M4" s="10"/>
      <c r="N4" s="11"/>
      <c r="O4" s="174"/>
      <c r="P4" s="174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>
      <c r="A5" s="169" t="s">
        <v>8</v>
      </c>
      <c r="B5" s="169"/>
      <c r="C5" s="16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>
      <c r="A6" s="169" t="s">
        <v>10</v>
      </c>
      <c r="B6" s="169"/>
      <c r="C6" s="169"/>
      <c r="D6" s="179">
        <f>'17'!D6+1</f>
        <v>46071</v>
      </c>
      <c r="E6" s="179"/>
      <c r="F6" s="28"/>
      <c r="G6" s="171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>
      <c r="A8" s="175" t="s">
        <v>11</v>
      </c>
      <c r="B8" s="175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9"/>
      <c r="T8" s="9"/>
      <c r="U8" s="9"/>
      <c r="V8" s="9"/>
      <c r="W8" s="9"/>
      <c r="X8" s="9"/>
      <c r="Y8" s="9"/>
      <c r="Z8" s="9"/>
    </row>
    <row r="9" spans="1:26" ht="24.95" customHeight="1">
      <c r="A9" s="158" t="s">
        <v>12</v>
      </c>
      <c r="B9" s="159"/>
      <c r="C9" s="162" t="s">
        <v>13</v>
      </c>
      <c r="D9" s="162"/>
      <c r="E9" s="163"/>
      <c r="F9" s="20" t="s">
        <v>14</v>
      </c>
      <c r="G9" s="166" t="s">
        <v>15</v>
      </c>
      <c r="H9" s="167"/>
      <c r="I9" s="21" t="s">
        <v>16</v>
      </c>
      <c r="J9" s="166" t="s">
        <v>17</v>
      </c>
      <c r="K9" s="167"/>
      <c r="L9" s="21" t="s">
        <v>16</v>
      </c>
      <c r="M9" s="166" t="s">
        <v>18</v>
      </c>
      <c r="N9" s="167"/>
      <c r="O9" s="22" t="s">
        <v>16</v>
      </c>
      <c r="P9" s="167" t="s">
        <v>19</v>
      </c>
      <c r="Q9" s="167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>
      <c r="A10" s="160"/>
      <c r="B10" s="161"/>
      <c r="C10" s="164"/>
      <c r="D10" s="164"/>
      <c r="E10" s="165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68"/>
      <c r="Q10" s="168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>
      <c r="A11" s="137">
        <v>101</v>
      </c>
      <c r="B11" s="138"/>
      <c r="C11" s="139" t="s">
        <v>83</v>
      </c>
      <c r="D11" s="139"/>
      <c r="E11" s="140"/>
      <c r="F11" s="41">
        <v>60</v>
      </c>
      <c r="G11" s="42">
        <v>18.7</v>
      </c>
      <c r="H11" s="43"/>
      <c r="I11" s="44" t="s">
        <v>67</v>
      </c>
      <c r="J11" s="42">
        <v>19.3</v>
      </c>
      <c r="K11" s="43"/>
      <c r="L11" s="44" t="s">
        <v>67</v>
      </c>
      <c r="M11" s="42">
        <v>23.4</v>
      </c>
      <c r="N11" s="43"/>
      <c r="O11" s="44" t="s">
        <v>67</v>
      </c>
      <c r="P11" s="45">
        <f>G11+J11+M11</f>
        <v>61.4</v>
      </c>
      <c r="Q11" s="105">
        <f>P11+'17'!Q11</f>
        <v>913.3</v>
      </c>
      <c r="R11" s="97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>
      <c r="A12" s="135"/>
      <c r="B12" s="136"/>
      <c r="C12" s="141" t="s">
        <v>84</v>
      </c>
      <c r="D12" s="141"/>
      <c r="E12" s="142"/>
      <c r="F12" s="47">
        <v>30</v>
      </c>
      <c r="G12" s="48">
        <v>9.1999999999999993</v>
      </c>
      <c r="H12" s="48"/>
      <c r="I12" s="49" t="s">
        <v>69</v>
      </c>
      <c r="J12" s="48">
        <v>9.6</v>
      </c>
      <c r="K12" s="48"/>
      <c r="L12" s="49" t="s">
        <v>69</v>
      </c>
      <c r="M12" s="48">
        <v>12.9</v>
      </c>
      <c r="N12" s="48"/>
      <c r="O12" s="49" t="s">
        <v>69</v>
      </c>
      <c r="P12" s="50">
        <f t="shared" ref="P12:P32" si="0">G12+J12+M12</f>
        <v>31.699999999999996</v>
      </c>
      <c r="Q12" s="50">
        <f>P12+'17'!Q12</f>
        <v>480.90000000000003</v>
      </c>
      <c r="R12" s="99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>
      <c r="A13" s="130"/>
      <c r="B13" s="131"/>
      <c r="C13" s="143" t="s">
        <v>85</v>
      </c>
      <c r="D13" s="143"/>
      <c r="E13" s="144"/>
      <c r="F13" s="52">
        <v>30</v>
      </c>
      <c r="G13" s="53">
        <v>9.6999999999999993</v>
      </c>
      <c r="H13" s="53"/>
      <c r="I13" s="54" t="s">
        <v>70</v>
      </c>
      <c r="J13" s="53">
        <v>9.8000000000000007</v>
      </c>
      <c r="K13" s="53"/>
      <c r="L13" s="54" t="s">
        <v>70</v>
      </c>
      <c r="M13" s="53">
        <v>9.6999999999999993</v>
      </c>
      <c r="N13" s="53"/>
      <c r="O13" s="54" t="s">
        <v>70</v>
      </c>
      <c r="P13" s="55">
        <f t="shared" si="0"/>
        <v>29.2</v>
      </c>
      <c r="Q13" s="55">
        <f>P13+'17'!Q13</f>
        <v>391.7</v>
      </c>
      <c r="R13" s="99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>
      <c r="A14" s="128">
        <v>102</v>
      </c>
      <c r="B14" s="145"/>
      <c r="C14" s="148" t="s">
        <v>86</v>
      </c>
      <c r="D14" s="149"/>
      <c r="E14" s="150"/>
      <c r="F14" s="56">
        <v>40</v>
      </c>
      <c r="G14" s="57"/>
      <c r="H14" s="58"/>
      <c r="I14" s="59"/>
      <c r="J14" s="60"/>
      <c r="K14" s="58"/>
      <c r="L14" s="59"/>
      <c r="M14" s="60"/>
      <c r="N14" s="58"/>
      <c r="O14" s="59"/>
      <c r="P14" s="61">
        <f t="shared" si="0"/>
        <v>0</v>
      </c>
      <c r="Q14" s="61">
        <f>P14+'17'!Q14</f>
        <v>158.89400000000001</v>
      </c>
      <c r="R14" s="102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>
      <c r="A15" s="146"/>
      <c r="B15" s="147"/>
      <c r="C15" s="151" t="s">
        <v>87</v>
      </c>
      <c r="D15" s="152"/>
      <c r="E15" s="153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50">
        <f t="shared" si="0"/>
        <v>0</v>
      </c>
      <c r="Q15" s="50">
        <f>P15+'17'!Q15</f>
        <v>0</v>
      </c>
      <c r="R15" s="97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>
      <c r="A16" s="146"/>
      <c r="B16" s="147"/>
      <c r="C16" s="154" t="s">
        <v>88</v>
      </c>
      <c r="D16" s="155"/>
      <c r="E16" s="156"/>
      <c r="F16" s="47">
        <f>F14*(2/100)</f>
        <v>0.8</v>
      </c>
      <c r="G16" s="48"/>
      <c r="H16" s="48"/>
      <c r="I16" s="49"/>
      <c r="J16" s="48"/>
      <c r="K16" s="48"/>
      <c r="L16" s="49"/>
      <c r="M16" s="48"/>
      <c r="N16" s="48"/>
      <c r="O16" s="49"/>
      <c r="P16" s="50">
        <f t="shared" si="0"/>
        <v>0</v>
      </c>
      <c r="Q16" s="50">
        <f>P16+'17'!Q16</f>
        <v>12.878699999999998</v>
      </c>
      <c r="R16" s="99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>
      <c r="A17" s="146"/>
      <c r="B17" s="147"/>
      <c r="C17" s="122" t="s">
        <v>89</v>
      </c>
      <c r="D17" s="123"/>
      <c r="E17" s="124"/>
      <c r="F17" s="47">
        <f>F14*12/100</f>
        <v>4.8</v>
      </c>
      <c r="G17" s="48"/>
      <c r="H17" s="48"/>
      <c r="I17" s="49"/>
      <c r="J17" s="48"/>
      <c r="K17" s="48"/>
      <c r="L17" s="49"/>
      <c r="M17" s="48"/>
      <c r="N17" s="48"/>
      <c r="O17" s="49"/>
      <c r="P17" s="50">
        <f t="shared" si="0"/>
        <v>0</v>
      </c>
      <c r="Q17" s="50">
        <f>P17+'17'!Q17</f>
        <v>0.22700000000000001</v>
      </c>
      <c r="R17" s="99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>
      <c r="A18" s="146"/>
      <c r="B18" s="147"/>
      <c r="C18" s="122" t="s">
        <v>90</v>
      </c>
      <c r="D18" s="123"/>
      <c r="E18" s="124"/>
      <c r="F18" s="47" t="s">
        <v>35</v>
      </c>
      <c r="G18" s="48"/>
      <c r="H18" s="48"/>
      <c r="I18" s="49"/>
      <c r="J18" s="48"/>
      <c r="K18" s="48"/>
      <c r="L18" s="49"/>
      <c r="M18" s="48"/>
      <c r="N18" s="48"/>
      <c r="O18" s="49"/>
      <c r="P18" s="50">
        <f t="shared" si="0"/>
        <v>0</v>
      </c>
      <c r="Q18" s="50">
        <f>P18+'17'!Q18</f>
        <v>102.732</v>
      </c>
      <c r="R18" s="99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>
      <c r="A19" s="146"/>
      <c r="B19" s="147"/>
      <c r="C19" s="122" t="s">
        <v>91</v>
      </c>
      <c r="D19" s="123"/>
      <c r="E19" s="124"/>
      <c r="F19" s="47" t="s">
        <v>35</v>
      </c>
      <c r="G19" s="48"/>
      <c r="H19" s="48"/>
      <c r="I19" s="49"/>
      <c r="J19" s="48"/>
      <c r="K19" s="48"/>
      <c r="L19" s="49"/>
      <c r="M19" s="48"/>
      <c r="N19" s="48"/>
      <c r="O19" s="49"/>
      <c r="P19" s="50">
        <f t="shared" si="0"/>
        <v>0</v>
      </c>
      <c r="Q19" s="50">
        <f>P19+'17'!Q19</f>
        <v>34.469000000000001</v>
      </c>
      <c r="R19" s="99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>
      <c r="A20" s="146"/>
      <c r="B20" s="147"/>
      <c r="C20" s="122" t="s">
        <v>92</v>
      </c>
      <c r="D20" s="123"/>
      <c r="E20" s="124"/>
      <c r="F20" s="63" t="s">
        <v>35</v>
      </c>
      <c r="G20" s="48"/>
      <c r="H20" s="48"/>
      <c r="I20" s="49"/>
      <c r="J20" s="48"/>
      <c r="K20" s="48"/>
      <c r="L20" s="49"/>
      <c r="M20" s="48"/>
      <c r="N20" s="48"/>
      <c r="O20" s="49"/>
      <c r="P20" s="50">
        <f t="shared" si="0"/>
        <v>0</v>
      </c>
      <c r="Q20" s="50">
        <f>P20+'17'!Q20</f>
        <v>0.80600000000000005</v>
      </c>
      <c r="R20" s="99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>
      <c r="A21" s="130"/>
      <c r="B21" s="131"/>
      <c r="C21" s="132" t="s">
        <v>93</v>
      </c>
      <c r="D21" s="133"/>
      <c r="E21" s="134"/>
      <c r="F21" s="52">
        <f>F14*(0.5/100)</f>
        <v>0.2</v>
      </c>
      <c r="G21" s="53"/>
      <c r="H21" s="53"/>
      <c r="I21" s="54"/>
      <c r="J21" s="53"/>
      <c r="K21" s="53"/>
      <c r="L21" s="54"/>
      <c r="M21" s="53"/>
      <c r="N21" s="53"/>
      <c r="O21" s="54"/>
      <c r="P21" s="55">
        <f t="shared" si="0"/>
        <v>0</v>
      </c>
      <c r="Q21" s="55">
        <f>P21+'17'!Q21</f>
        <v>7.8379000000000003</v>
      </c>
      <c r="R21" s="99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>
      <c r="A22" s="128" t="s">
        <v>105</v>
      </c>
      <c r="B22" s="129"/>
      <c r="C22" s="119" t="s">
        <v>94</v>
      </c>
      <c r="D22" s="120"/>
      <c r="E22" s="121"/>
      <c r="F22" s="56">
        <v>24</v>
      </c>
      <c r="G22" s="60">
        <v>8.82</v>
      </c>
      <c r="H22" s="58"/>
      <c r="I22" s="65" t="s">
        <v>41</v>
      </c>
      <c r="J22" s="60">
        <v>8.8170000000000002</v>
      </c>
      <c r="K22" s="58"/>
      <c r="L22" s="65" t="s">
        <v>41</v>
      </c>
      <c r="M22" s="60">
        <v>8.8190000000000008</v>
      </c>
      <c r="N22" s="58"/>
      <c r="O22" s="65" t="s">
        <v>41</v>
      </c>
      <c r="P22" s="61">
        <f t="shared" si="0"/>
        <v>26.456000000000003</v>
      </c>
      <c r="Q22" s="61">
        <f>P22+'17'!Q22</f>
        <v>202.77699999999999</v>
      </c>
      <c r="R22" s="102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>
      <c r="A23" s="130"/>
      <c r="B23" s="131"/>
      <c r="C23" s="132" t="s">
        <v>95</v>
      </c>
      <c r="D23" s="133"/>
      <c r="E23" s="134"/>
      <c r="F23" s="52">
        <v>24</v>
      </c>
      <c r="G23" s="53">
        <v>8.7840000000000007</v>
      </c>
      <c r="H23" s="53"/>
      <c r="I23" s="66" t="s">
        <v>43</v>
      </c>
      <c r="J23" s="53">
        <v>8.952</v>
      </c>
      <c r="K23" s="53"/>
      <c r="L23" s="66" t="s">
        <v>43</v>
      </c>
      <c r="M23" s="53">
        <v>8.8480000000000008</v>
      </c>
      <c r="N23" s="53"/>
      <c r="O23" s="66" t="s">
        <v>43</v>
      </c>
      <c r="P23" s="55">
        <f t="shared" si="0"/>
        <v>26.584000000000003</v>
      </c>
      <c r="Q23" s="55">
        <f>P23+'17'!Q23</f>
        <v>196.34200000000001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>
      <c r="A24" s="128" t="s">
        <v>106</v>
      </c>
      <c r="B24" s="129"/>
      <c r="C24" s="119" t="s">
        <v>96</v>
      </c>
      <c r="D24" s="120"/>
      <c r="E24" s="121"/>
      <c r="F24" s="56">
        <v>24</v>
      </c>
      <c r="G24" s="60">
        <v>8.84</v>
      </c>
      <c r="H24" s="58"/>
      <c r="I24" s="59" t="s">
        <v>43</v>
      </c>
      <c r="J24" s="60">
        <v>8.7910000000000004</v>
      </c>
      <c r="K24" s="58"/>
      <c r="L24" s="59" t="s">
        <v>43</v>
      </c>
      <c r="M24" s="60">
        <v>8.7910000000000004</v>
      </c>
      <c r="N24" s="58"/>
      <c r="O24" s="59" t="s">
        <v>43</v>
      </c>
      <c r="P24" s="61">
        <f t="shared" si="0"/>
        <v>26.422000000000001</v>
      </c>
      <c r="Q24" s="61">
        <f>P24+'17'!Q24</f>
        <v>240.26599999999999</v>
      </c>
      <c r="R24" s="97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>
      <c r="A25" s="135"/>
      <c r="B25" s="136"/>
      <c r="C25" s="122" t="s">
        <v>46</v>
      </c>
      <c r="D25" s="123"/>
      <c r="E25" s="124"/>
      <c r="F25" s="47" t="s">
        <v>35</v>
      </c>
      <c r="G25" s="48">
        <v>0.151</v>
      </c>
      <c r="H25" s="48"/>
      <c r="I25" s="49" t="s">
        <v>77</v>
      </c>
      <c r="J25" s="48">
        <v>0.15229999999999999</v>
      </c>
      <c r="K25" s="48"/>
      <c r="L25" s="49" t="s">
        <v>77</v>
      </c>
      <c r="M25" s="48">
        <v>0.151</v>
      </c>
      <c r="N25" s="48"/>
      <c r="O25" s="49" t="s">
        <v>77</v>
      </c>
      <c r="P25" s="50">
        <f t="shared" si="0"/>
        <v>0.45430000000000004</v>
      </c>
      <c r="Q25" s="50">
        <f>P25+'17'!Q25</f>
        <v>6.045399999999999</v>
      </c>
      <c r="R25" s="99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>
      <c r="A26" s="135"/>
      <c r="B26" s="136"/>
      <c r="C26" s="122" t="s">
        <v>97</v>
      </c>
      <c r="D26" s="123"/>
      <c r="E26" s="124"/>
      <c r="F26" s="47" t="s">
        <v>35</v>
      </c>
      <c r="G26" s="48">
        <v>8.4139999999999997</v>
      </c>
      <c r="H26" s="48"/>
      <c r="I26" s="49" t="s">
        <v>80</v>
      </c>
      <c r="J26" s="48">
        <v>8.4139999999999997</v>
      </c>
      <c r="K26" s="48"/>
      <c r="L26" s="49" t="s">
        <v>80</v>
      </c>
      <c r="M26" s="48">
        <v>8.4139999999999997</v>
      </c>
      <c r="N26" s="48"/>
      <c r="O26" s="49" t="s">
        <v>80</v>
      </c>
      <c r="P26" s="50">
        <f t="shared" si="0"/>
        <v>25.241999999999997</v>
      </c>
      <c r="Q26" s="50">
        <f>P26+'17'!Q26</f>
        <v>224.75800000000001</v>
      </c>
      <c r="R26" s="99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>
      <c r="A27" s="135"/>
      <c r="B27" s="136"/>
      <c r="C27" s="122" t="s">
        <v>98</v>
      </c>
      <c r="D27" s="123"/>
      <c r="E27" s="124"/>
      <c r="F27" s="47" t="s">
        <v>35</v>
      </c>
      <c r="G27" s="48">
        <v>0</v>
      </c>
      <c r="H27" s="48"/>
      <c r="I27" s="49" t="s">
        <v>79</v>
      </c>
      <c r="J27" s="48">
        <v>0</v>
      </c>
      <c r="K27" s="48"/>
      <c r="L27" s="49" t="s">
        <v>79</v>
      </c>
      <c r="M27" s="48">
        <v>0</v>
      </c>
      <c r="N27" s="48"/>
      <c r="O27" s="49" t="s">
        <v>79</v>
      </c>
      <c r="P27" s="50">
        <f t="shared" si="0"/>
        <v>0</v>
      </c>
      <c r="Q27" s="50">
        <f>P27+'17'!Q27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>
      <c r="A28" s="130"/>
      <c r="B28" s="131"/>
      <c r="C28" s="132" t="s">
        <v>99</v>
      </c>
      <c r="D28" s="133"/>
      <c r="E28" s="134"/>
      <c r="F28" s="52" t="s">
        <v>35</v>
      </c>
      <c r="G28" s="53">
        <v>0.24</v>
      </c>
      <c r="H28" s="53"/>
      <c r="I28" s="54" t="s">
        <v>53</v>
      </c>
      <c r="J28" s="53">
        <v>0.2409</v>
      </c>
      <c r="K28" s="53"/>
      <c r="L28" s="54" t="s">
        <v>53</v>
      </c>
      <c r="M28" s="53">
        <v>0.24</v>
      </c>
      <c r="N28" s="53"/>
      <c r="O28" s="54" t="s">
        <v>53</v>
      </c>
      <c r="P28" s="55">
        <f t="shared" si="0"/>
        <v>0.72089999999999999</v>
      </c>
      <c r="Q28" s="55">
        <f>P28+'17'!Q28</f>
        <v>10.4153</v>
      </c>
      <c r="R28" s="97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>
      <c r="A29" s="113">
        <v>104</v>
      </c>
      <c r="B29" s="114"/>
      <c r="C29" s="119" t="s">
        <v>100</v>
      </c>
      <c r="D29" s="120"/>
      <c r="E29" s="121"/>
      <c r="F29" s="56"/>
      <c r="G29" s="60"/>
      <c r="H29" s="58"/>
      <c r="I29" s="59"/>
      <c r="J29" s="60"/>
      <c r="K29" s="58"/>
      <c r="L29" s="59"/>
      <c r="M29" s="60">
        <v>12.699</v>
      </c>
      <c r="N29" s="58"/>
      <c r="O29" s="59" t="s">
        <v>55</v>
      </c>
      <c r="P29" s="61">
        <f t="shared" si="0"/>
        <v>12.699</v>
      </c>
      <c r="Q29" s="61">
        <f>P29+'17'!Q29</f>
        <v>149.39100000000005</v>
      </c>
      <c r="R29" s="102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>
      <c r="A30" s="115"/>
      <c r="B30" s="116"/>
      <c r="C30" s="122" t="s">
        <v>102</v>
      </c>
      <c r="D30" s="123"/>
      <c r="E30" s="124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50">
        <f t="shared" si="0"/>
        <v>0</v>
      </c>
      <c r="Q30" s="50">
        <f>P30+'17'!Q30</f>
        <v>0</v>
      </c>
      <c r="R30" s="99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>
      <c r="A31" s="115"/>
      <c r="B31" s="116"/>
      <c r="C31" s="122" t="s">
        <v>101</v>
      </c>
      <c r="D31" s="123"/>
      <c r="E31" s="124"/>
      <c r="F31" s="47"/>
      <c r="G31" s="48"/>
      <c r="H31" s="48"/>
      <c r="I31" s="49"/>
      <c r="J31" s="48"/>
      <c r="K31" s="48"/>
      <c r="L31" s="49"/>
      <c r="M31" s="48">
        <v>2.4670000000000001</v>
      </c>
      <c r="N31" s="48"/>
      <c r="O31" s="49" t="s">
        <v>58</v>
      </c>
      <c r="P31" s="50">
        <f t="shared" si="0"/>
        <v>2.4670000000000001</v>
      </c>
      <c r="Q31" s="50">
        <f>P31+'17'!Q31</f>
        <v>29.603999999999999</v>
      </c>
      <c r="R31" s="99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>
      <c r="A32" s="115"/>
      <c r="B32" s="116"/>
      <c r="C32" s="122" t="s">
        <v>103</v>
      </c>
      <c r="D32" s="123"/>
      <c r="E32" s="124"/>
      <c r="F32" s="47"/>
      <c r="G32" s="48"/>
      <c r="H32" s="48"/>
      <c r="I32" s="49"/>
      <c r="J32" s="48">
        <v>6.5613000000000001</v>
      </c>
      <c r="K32" s="48"/>
      <c r="L32" s="49" t="s">
        <v>60</v>
      </c>
      <c r="M32" s="107">
        <v>6.2510000000000003</v>
      </c>
      <c r="N32" s="48"/>
      <c r="O32" s="49" t="s">
        <v>60</v>
      </c>
      <c r="P32" s="50">
        <f t="shared" si="0"/>
        <v>12.8123</v>
      </c>
      <c r="Q32" s="50">
        <f>P32+'17'!Q32</f>
        <v>151.37729999999999</v>
      </c>
      <c r="R32" s="99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>
      <c r="A33" s="117"/>
      <c r="B33" s="118"/>
      <c r="C33" s="125" t="s">
        <v>104</v>
      </c>
      <c r="D33" s="126"/>
      <c r="E33" s="127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72">
        <f>G33+J33+M33</f>
        <v>0</v>
      </c>
      <c r="Q33" s="72">
        <f>P33+'17'!Q33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/>
    <row r="35" spans="1:26" ht="14.1" customHeight="1"/>
    <row r="36" spans="1:26" ht="14.1" customHeight="1"/>
    <row r="37" spans="1:26" ht="14.1" customHeight="1"/>
    <row r="38" spans="1:26" ht="14.1" customHeight="1"/>
    <row r="39" spans="1:26" ht="14.1" customHeight="1"/>
    <row r="40" spans="1:26" ht="14.1" customHeight="1"/>
    <row r="41" spans="1:26" ht="14.1" customHeight="1"/>
    <row r="42" spans="1:26" ht="14.1" customHeight="1"/>
    <row r="43" spans="1:26" ht="14.1" customHeight="1"/>
    <row r="44" spans="1:26" ht="14.1" customHeight="1"/>
    <row r="45" spans="1:26" ht="14.1" customHeight="1"/>
    <row r="46" spans="1:26" ht="14.1" customHeight="1"/>
    <row r="47" spans="1:26" ht="14.1" customHeight="1"/>
    <row r="48" spans="1:26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  <row r="58" ht="14.1" customHeight="1"/>
    <row r="59" ht="14.1" customHeight="1"/>
    <row r="60" ht="14.1" customHeight="1"/>
    <row r="61" ht="14.1" customHeight="1"/>
    <row r="62" ht="14.1" customHeight="1"/>
    <row r="63" ht="14.1" customHeight="1"/>
    <row r="64" ht="14.1" customHeight="1"/>
    <row r="65" ht="14.1" customHeight="1"/>
    <row r="66" ht="14.1" customHeight="1"/>
    <row r="67" ht="14.1" customHeight="1"/>
    <row r="68" ht="15" customHeight="1"/>
    <row r="69" ht="12.95" customHeight="1"/>
    <row r="70" ht="14.1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4.1" customHeight="1"/>
    <row r="122" ht="14.1" customHeight="1"/>
    <row r="123" ht="14.1" customHeight="1"/>
    <row r="124" ht="14.1" customHeight="1"/>
    <row r="125" ht="14.1" customHeight="1"/>
    <row r="126" ht="10.5" customHeight="1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1657B4F9-3010-41CB-BF26-680767D3687C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7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152400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8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152400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9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152400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0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453E-270B-4D1E-81EF-8D2FD2095DD1}">
  <sheetPr codeName="Sheet22"/>
  <dimension ref="A1:Z126"/>
  <sheetViews>
    <sheetView showGridLines="0" zoomScale="85" zoomScaleNormal="85" zoomScaleSheetLayoutView="113" workbookViewId="0">
      <selection activeCell="A11" sqref="A11:E33"/>
    </sheetView>
  </sheetViews>
  <sheetFormatPr defaultColWidth="10.140625" defaultRowHeight="1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7.8554687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8" width="8.42578125" customWidth="1"/>
    <col min="27" max="16384" width="10.140625" style="9"/>
  </cols>
  <sheetData>
    <row r="1" spans="1:26" ht="15" customHeight="1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>
      <c r="A2" s="10"/>
      <c r="B2" s="10"/>
      <c r="C2" s="10"/>
      <c r="D2" s="10"/>
      <c r="E2" s="10"/>
      <c r="F2" s="10"/>
      <c r="G2" s="173"/>
      <c r="H2" s="173"/>
      <c r="I2" s="173"/>
      <c r="J2" s="173"/>
      <c r="K2" s="173"/>
      <c r="L2" s="173"/>
      <c r="M2" s="10"/>
      <c r="N2" s="11"/>
      <c r="O2" s="174"/>
      <c r="P2" s="174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>
      <c r="A3" s="10"/>
      <c r="B3" s="10"/>
      <c r="C3" s="10"/>
      <c r="D3" s="10"/>
      <c r="E3" s="10"/>
      <c r="F3" s="10"/>
      <c r="G3" s="173"/>
      <c r="H3" s="173"/>
      <c r="I3" s="173"/>
      <c r="J3" s="173"/>
      <c r="K3" s="173"/>
      <c r="L3" s="173"/>
      <c r="M3" s="10"/>
      <c r="N3" s="11"/>
      <c r="O3" s="174"/>
      <c r="P3" s="174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>
      <c r="A4" s="10"/>
      <c r="B4" s="10"/>
      <c r="C4" s="10"/>
      <c r="D4" s="10"/>
      <c r="E4" s="10"/>
      <c r="F4" s="10"/>
      <c r="G4" s="173"/>
      <c r="H4" s="173"/>
      <c r="I4" s="173"/>
      <c r="J4" s="173"/>
      <c r="K4" s="173"/>
      <c r="L4" s="173"/>
      <c r="M4" s="10"/>
      <c r="N4" s="11"/>
      <c r="O4" s="174"/>
      <c r="P4" s="174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>
      <c r="A5" s="169" t="s">
        <v>8</v>
      </c>
      <c r="B5" s="169"/>
      <c r="C5" s="16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>
      <c r="A6" s="169" t="s">
        <v>10</v>
      </c>
      <c r="B6" s="169"/>
      <c r="C6" s="169"/>
      <c r="D6" s="179">
        <f>'18'!D6+1</f>
        <v>46072</v>
      </c>
      <c r="E6" s="179"/>
      <c r="F6" s="28"/>
      <c r="G6" s="171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>
      <c r="A8" s="175" t="s">
        <v>11</v>
      </c>
      <c r="B8" s="175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9"/>
      <c r="T8" s="9"/>
      <c r="U8" s="9"/>
      <c r="V8" s="9"/>
      <c r="W8" s="9"/>
      <c r="X8" s="9"/>
      <c r="Y8" s="9"/>
      <c r="Z8" s="9"/>
    </row>
    <row r="9" spans="1:26" ht="24.95" customHeight="1">
      <c r="A9" s="158" t="s">
        <v>12</v>
      </c>
      <c r="B9" s="159"/>
      <c r="C9" s="162" t="s">
        <v>13</v>
      </c>
      <c r="D9" s="162"/>
      <c r="E9" s="163"/>
      <c r="F9" s="20" t="s">
        <v>14</v>
      </c>
      <c r="G9" s="166" t="s">
        <v>15</v>
      </c>
      <c r="H9" s="167"/>
      <c r="I9" s="21" t="s">
        <v>16</v>
      </c>
      <c r="J9" s="166" t="s">
        <v>17</v>
      </c>
      <c r="K9" s="167"/>
      <c r="L9" s="21" t="s">
        <v>16</v>
      </c>
      <c r="M9" s="166" t="s">
        <v>18</v>
      </c>
      <c r="N9" s="167"/>
      <c r="O9" s="22" t="s">
        <v>16</v>
      </c>
      <c r="P9" s="167" t="s">
        <v>19</v>
      </c>
      <c r="Q9" s="167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>
      <c r="A10" s="160"/>
      <c r="B10" s="161"/>
      <c r="C10" s="164"/>
      <c r="D10" s="164"/>
      <c r="E10" s="165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68"/>
      <c r="Q10" s="168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>
      <c r="A11" s="137">
        <v>101</v>
      </c>
      <c r="B11" s="138"/>
      <c r="C11" s="139" t="s">
        <v>83</v>
      </c>
      <c r="D11" s="139"/>
      <c r="E11" s="140"/>
      <c r="F11" s="41">
        <v>60</v>
      </c>
      <c r="G11" s="42">
        <v>19.100000000000001</v>
      </c>
      <c r="H11" s="43"/>
      <c r="I11" s="44" t="s">
        <v>67</v>
      </c>
      <c r="J11" s="42">
        <v>18.899999999999999</v>
      </c>
      <c r="K11" s="43"/>
      <c r="L11" s="44" t="s">
        <v>67</v>
      </c>
      <c r="M11" s="42">
        <v>24.7</v>
      </c>
      <c r="N11" s="43"/>
      <c r="O11" s="44" t="s">
        <v>67</v>
      </c>
      <c r="P11" s="45">
        <f>G11+J11+M11</f>
        <v>62.7</v>
      </c>
      <c r="Q11" s="105">
        <f>P11+'18'!Q11</f>
        <v>976</v>
      </c>
      <c r="R11" s="97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>
      <c r="A12" s="135"/>
      <c r="B12" s="136"/>
      <c r="C12" s="141" t="s">
        <v>84</v>
      </c>
      <c r="D12" s="141"/>
      <c r="E12" s="142"/>
      <c r="F12" s="47">
        <v>30</v>
      </c>
      <c r="G12" s="48">
        <v>9.4</v>
      </c>
      <c r="H12" s="48"/>
      <c r="I12" s="49" t="s">
        <v>69</v>
      </c>
      <c r="J12" s="48">
        <v>9.5</v>
      </c>
      <c r="K12" s="48"/>
      <c r="L12" s="49" t="s">
        <v>69</v>
      </c>
      <c r="M12" s="48">
        <v>13.5</v>
      </c>
      <c r="N12" s="48"/>
      <c r="O12" s="49" t="s">
        <v>69</v>
      </c>
      <c r="P12" s="50">
        <f t="shared" ref="P12:P32" si="0">G12+J12+M12</f>
        <v>32.4</v>
      </c>
      <c r="Q12" s="50">
        <f>P12+'18'!Q12</f>
        <v>513.30000000000007</v>
      </c>
      <c r="R12" s="99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>
      <c r="A13" s="130"/>
      <c r="B13" s="131"/>
      <c r="C13" s="143" t="s">
        <v>85</v>
      </c>
      <c r="D13" s="143"/>
      <c r="E13" s="144"/>
      <c r="F13" s="52">
        <v>30</v>
      </c>
      <c r="G13" s="53">
        <v>9.6999999999999993</v>
      </c>
      <c r="H13" s="53"/>
      <c r="I13" s="54" t="s">
        <v>70</v>
      </c>
      <c r="J13" s="53">
        <v>9</v>
      </c>
      <c r="K13" s="53"/>
      <c r="L13" s="54" t="s">
        <v>70</v>
      </c>
      <c r="M13" s="53">
        <v>10</v>
      </c>
      <c r="N13" s="53"/>
      <c r="O13" s="54" t="s">
        <v>70</v>
      </c>
      <c r="P13" s="55">
        <f t="shared" si="0"/>
        <v>28.7</v>
      </c>
      <c r="Q13" s="55">
        <f>P13+'18'!Q13</f>
        <v>420.4</v>
      </c>
      <c r="R13" s="99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>
      <c r="A14" s="128">
        <v>102</v>
      </c>
      <c r="B14" s="145"/>
      <c r="C14" s="148" t="s">
        <v>86</v>
      </c>
      <c r="D14" s="149"/>
      <c r="E14" s="150"/>
      <c r="F14" s="56">
        <v>40</v>
      </c>
      <c r="G14" s="57"/>
      <c r="H14" s="58"/>
      <c r="I14" s="59"/>
      <c r="J14" s="60"/>
      <c r="K14" s="58"/>
      <c r="L14" s="59"/>
      <c r="M14" s="60"/>
      <c r="N14" s="58"/>
      <c r="O14" s="59"/>
      <c r="P14" s="61">
        <f t="shared" si="0"/>
        <v>0</v>
      </c>
      <c r="Q14" s="61">
        <f>P14+'18'!Q14</f>
        <v>158.89400000000001</v>
      </c>
      <c r="R14" s="102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>
      <c r="A15" s="146"/>
      <c r="B15" s="147"/>
      <c r="C15" s="151" t="s">
        <v>87</v>
      </c>
      <c r="D15" s="152"/>
      <c r="E15" s="153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50">
        <f t="shared" si="0"/>
        <v>0</v>
      </c>
      <c r="Q15" s="50">
        <f>P15+'18'!Q15</f>
        <v>0</v>
      </c>
      <c r="R15" s="97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>
      <c r="A16" s="146"/>
      <c r="B16" s="147"/>
      <c r="C16" s="154" t="s">
        <v>88</v>
      </c>
      <c r="D16" s="155"/>
      <c r="E16" s="156"/>
      <c r="F16" s="47">
        <f>F14*(2/100)</f>
        <v>0.8</v>
      </c>
      <c r="G16" s="48"/>
      <c r="H16" s="48"/>
      <c r="I16" s="49"/>
      <c r="J16" s="48"/>
      <c r="K16" s="48"/>
      <c r="L16" s="49"/>
      <c r="M16" s="48"/>
      <c r="N16" s="48"/>
      <c r="O16" s="49"/>
      <c r="P16" s="50">
        <f t="shared" si="0"/>
        <v>0</v>
      </c>
      <c r="Q16" s="50">
        <f>P16+'18'!Q16</f>
        <v>12.878699999999998</v>
      </c>
      <c r="R16" s="99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>
      <c r="A17" s="146"/>
      <c r="B17" s="147"/>
      <c r="C17" s="122" t="s">
        <v>89</v>
      </c>
      <c r="D17" s="123"/>
      <c r="E17" s="124"/>
      <c r="F17" s="47">
        <f>F14*12/100</f>
        <v>4.8</v>
      </c>
      <c r="G17" s="48"/>
      <c r="H17" s="48"/>
      <c r="I17" s="49"/>
      <c r="J17" s="48"/>
      <c r="K17" s="48"/>
      <c r="L17" s="49"/>
      <c r="M17" s="48"/>
      <c r="N17" s="48"/>
      <c r="O17" s="49"/>
      <c r="P17" s="50">
        <f t="shared" si="0"/>
        <v>0</v>
      </c>
      <c r="Q17" s="50">
        <f>P17+'18'!Q17</f>
        <v>0.22700000000000001</v>
      </c>
      <c r="R17" s="99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>
      <c r="A18" s="146"/>
      <c r="B18" s="147"/>
      <c r="C18" s="122" t="s">
        <v>90</v>
      </c>
      <c r="D18" s="123"/>
      <c r="E18" s="124"/>
      <c r="F18" s="47" t="s">
        <v>35</v>
      </c>
      <c r="G18" s="48"/>
      <c r="H18" s="48"/>
      <c r="I18" s="49"/>
      <c r="J18" s="48"/>
      <c r="K18" s="48"/>
      <c r="L18" s="49"/>
      <c r="M18" s="48"/>
      <c r="N18" s="48"/>
      <c r="O18" s="49"/>
      <c r="P18" s="50">
        <f t="shared" si="0"/>
        <v>0</v>
      </c>
      <c r="Q18" s="50">
        <f>P18+'18'!Q18</f>
        <v>102.732</v>
      </c>
      <c r="R18" s="99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>
      <c r="A19" s="146"/>
      <c r="B19" s="147"/>
      <c r="C19" s="122" t="s">
        <v>91</v>
      </c>
      <c r="D19" s="123"/>
      <c r="E19" s="124"/>
      <c r="F19" s="47" t="s">
        <v>35</v>
      </c>
      <c r="G19" s="48"/>
      <c r="H19" s="48"/>
      <c r="I19" s="49"/>
      <c r="J19" s="48"/>
      <c r="K19" s="48"/>
      <c r="L19" s="49"/>
      <c r="M19" s="48"/>
      <c r="N19" s="48"/>
      <c r="O19" s="49"/>
      <c r="P19" s="50">
        <f t="shared" si="0"/>
        <v>0</v>
      </c>
      <c r="Q19" s="50">
        <f>P19+'18'!Q19</f>
        <v>34.469000000000001</v>
      </c>
      <c r="R19" s="99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>
      <c r="A20" s="146"/>
      <c r="B20" s="147"/>
      <c r="C20" s="122" t="s">
        <v>92</v>
      </c>
      <c r="D20" s="123"/>
      <c r="E20" s="124"/>
      <c r="F20" s="63" t="s">
        <v>35</v>
      </c>
      <c r="G20" s="48"/>
      <c r="H20" s="48"/>
      <c r="I20" s="49"/>
      <c r="J20" s="48"/>
      <c r="K20" s="48"/>
      <c r="L20" s="49"/>
      <c r="M20" s="48"/>
      <c r="N20" s="48"/>
      <c r="O20" s="49"/>
      <c r="P20" s="50">
        <f t="shared" si="0"/>
        <v>0</v>
      </c>
      <c r="Q20" s="50">
        <f>P20+'18'!Q20</f>
        <v>0.80600000000000005</v>
      </c>
      <c r="R20" s="99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>
      <c r="A21" s="130"/>
      <c r="B21" s="131"/>
      <c r="C21" s="132" t="s">
        <v>93</v>
      </c>
      <c r="D21" s="133"/>
      <c r="E21" s="134"/>
      <c r="F21" s="52">
        <f>F14*(0.5/100)</f>
        <v>0.2</v>
      </c>
      <c r="G21" s="53"/>
      <c r="H21" s="53"/>
      <c r="I21" s="54"/>
      <c r="J21" s="53"/>
      <c r="K21" s="53"/>
      <c r="L21" s="54"/>
      <c r="M21" s="53"/>
      <c r="N21" s="53"/>
      <c r="O21" s="54"/>
      <c r="P21" s="55">
        <f t="shared" si="0"/>
        <v>0</v>
      </c>
      <c r="Q21" s="55">
        <f>P21+'18'!Q21</f>
        <v>7.8379000000000003</v>
      </c>
      <c r="R21" s="99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>
      <c r="A22" s="128" t="s">
        <v>105</v>
      </c>
      <c r="B22" s="129"/>
      <c r="C22" s="119" t="s">
        <v>94</v>
      </c>
      <c r="D22" s="120"/>
      <c r="E22" s="121"/>
      <c r="F22" s="56">
        <v>24</v>
      </c>
      <c r="G22" s="60">
        <v>8.8179999999999996</v>
      </c>
      <c r="H22" s="58"/>
      <c r="I22" s="65" t="s">
        <v>41</v>
      </c>
      <c r="J22" s="60">
        <v>8.8190000000000008</v>
      </c>
      <c r="K22" s="58"/>
      <c r="L22" s="65" t="s">
        <v>41</v>
      </c>
      <c r="M22" s="60">
        <v>8.8130000000000006</v>
      </c>
      <c r="N22" s="58"/>
      <c r="O22" s="65" t="s">
        <v>41</v>
      </c>
      <c r="P22" s="61">
        <f t="shared" si="0"/>
        <v>26.450000000000003</v>
      </c>
      <c r="Q22" s="61">
        <f>P22+'18'!Q22</f>
        <v>229.22699999999998</v>
      </c>
      <c r="R22" s="102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>
      <c r="A23" s="130"/>
      <c r="B23" s="131"/>
      <c r="C23" s="132" t="s">
        <v>95</v>
      </c>
      <c r="D23" s="133"/>
      <c r="E23" s="134"/>
      <c r="F23" s="52">
        <v>24</v>
      </c>
      <c r="G23" s="53">
        <v>8.6440000000000001</v>
      </c>
      <c r="H23" s="53"/>
      <c r="I23" s="66" t="s">
        <v>43</v>
      </c>
      <c r="J23" s="53">
        <v>8.8989999999999991</v>
      </c>
      <c r="K23" s="53"/>
      <c r="L23" s="66" t="s">
        <v>43</v>
      </c>
      <c r="M23" s="53">
        <v>8.8223000000000003</v>
      </c>
      <c r="N23" s="53"/>
      <c r="O23" s="66" t="s">
        <v>43</v>
      </c>
      <c r="P23" s="55">
        <f t="shared" si="0"/>
        <v>26.365299999999998</v>
      </c>
      <c r="Q23" s="55">
        <f>P23+'18'!Q23</f>
        <v>222.7073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>
      <c r="A24" s="128" t="s">
        <v>106</v>
      </c>
      <c r="B24" s="129"/>
      <c r="C24" s="119" t="s">
        <v>96</v>
      </c>
      <c r="D24" s="120"/>
      <c r="E24" s="121"/>
      <c r="F24" s="56">
        <v>24</v>
      </c>
      <c r="G24" s="60">
        <v>8.8520000000000003</v>
      </c>
      <c r="H24" s="58"/>
      <c r="I24" s="59" t="s">
        <v>43</v>
      </c>
      <c r="J24" s="60">
        <v>8.7919999999999998</v>
      </c>
      <c r="K24" s="58"/>
      <c r="L24" s="59" t="s">
        <v>43</v>
      </c>
      <c r="M24" s="60">
        <v>8.7929999999999993</v>
      </c>
      <c r="N24" s="58"/>
      <c r="O24" s="59" t="s">
        <v>43</v>
      </c>
      <c r="P24" s="61">
        <f t="shared" si="0"/>
        <v>26.436999999999998</v>
      </c>
      <c r="Q24" s="61">
        <f>P24+'18'!Q24</f>
        <v>266.70299999999997</v>
      </c>
      <c r="R24" s="97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>
      <c r="A25" s="135"/>
      <c r="B25" s="136"/>
      <c r="C25" s="122" t="s">
        <v>46</v>
      </c>
      <c r="D25" s="123"/>
      <c r="E25" s="124"/>
      <c r="F25" s="47" t="s">
        <v>35</v>
      </c>
      <c r="G25" s="48">
        <v>0.152</v>
      </c>
      <c r="H25" s="48"/>
      <c r="I25" s="49" t="s">
        <v>77</v>
      </c>
      <c r="J25" s="48">
        <v>0.15260000000000001</v>
      </c>
      <c r="K25" s="48"/>
      <c r="L25" s="49" t="s">
        <v>77</v>
      </c>
      <c r="M25" s="48">
        <v>0.152</v>
      </c>
      <c r="N25" s="48"/>
      <c r="O25" s="49" t="s">
        <v>77</v>
      </c>
      <c r="P25" s="50">
        <f t="shared" si="0"/>
        <v>0.45660000000000001</v>
      </c>
      <c r="Q25" s="50">
        <f>P25+'18'!Q25</f>
        <v>6.5019999999999989</v>
      </c>
      <c r="R25" s="99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>
      <c r="A26" s="135"/>
      <c r="B26" s="136"/>
      <c r="C26" s="122" t="s">
        <v>97</v>
      </c>
      <c r="D26" s="123"/>
      <c r="E26" s="124"/>
      <c r="F26" s="47" t="s">
        <v>35</v>
      </c>
      <c r="G26" s="48">
        <v>8.4139999999999997</v>
      </c>
      <c r="H26" s="48"/>
      <c r="I26" s="49" t="s">
        <v>80</v>
      </c>
      <c r="J26" s="48">
        <v>8.4179999999999993</v>
      </c>
      <c r="K26" s="48"/>
      <c r="L26" s="49" t="s">
        <v>80</v>
      </c>
      <c r="M26" s="48">
        <v>8.4130000000000003</v>
      </c>
      <c r="N26" s="48"/>
      <c r="O26" s="49" t="s">
        <v>80</v>
      </c>
      <c r="P26" s="50">
        <f t="shared" si="0"/>
        <v>25.245000000000001</v>
      </c>
      <c r="Q26" s="50">
        <f>P26+'18'!Q26</f>
        <v>250.00300000000001</v>
      </c>
      <c r="R26" s="99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>
      <c r="A27" s="135"/>
      <c r="B27" s="136"/>
      <c r="C27" s="122" t="s">
        <v>98</v>
      </c>
      <c r="D27" s="123"/>
      <c r="E27" s="124"/>
      <c r="F27" s="47" t="s">
        <v>35</v>
      </c>
      <c r="G27" s="48">
        <v>0</v>
      </c>
      <c r="H27" s="48"/>
      <c r="I27" s="49" t="s">
        <v>79</v>
      </c>
      <c r="J27" s="48">
        <v>0</v>
      </c>
      <c r="K27" s="48"/>
      <c r="L27" s="49" t="s">
        <v>79</v>
      </c>
      <c r="M27" s="48">
        <v>0</v>
      </c>
      <c r="N27" s="48"/>
      <c r="O27" s="49" t="s">
        <v>79</v>
      </c>
      <c r="P27" s="50">
        <f t="shared" si="0"/>
        <v>0</v>
      </c>
      <c r="Q27" s="50">
        <f>P27+'18'!Q27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>
      <c r="A28" s="130"/>
      <c r="B28" s="131"/>
      <c r="C28" s="132" t="s">
        <v>99</v>
      </c>
      <c r="D28" s="133"/>
      <c r="E28" s="134"/>
      <c r="F28" s="52" t="s">
        <v>35</v>
      </c>
      <c r="G28" s="53">
        <v>0.24</v>
      </c>
      <c r="H28" s="53"/>
      <c r="I28" s="54" t="s">
        <v>53</v>
      </c>
      <c r="J28" s="53">
        <v>0.23830000000000001</v>
      </c>
      <c r="K28" s="53"/>
      <c r="L28" s="54" t="s">
        <v>53</v>
      </c>
      <c r="M28" s="53">
        <v>0.24199999999999999</v>
      </c>
      <c r="N28" s="53"/>
      <c r="O28" s="54" t="s">
        <v>53</v>
      </c>
      <c r="P28" s="55">
        <f t="shared" si="0"/>
        <v>0.72029999999999994</v>
      </c>
      <c r="Q28" s="55">
        <f>P28+'18'!Q28</f>
        <v>11.1356</v>
      </c>
      <c r="R28" s="97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>
      <c r="A29" s="113">
        <v>104</v>
      </c>
      <c r="B29" s="114"/>
      <c r="C29" s="119" t="s">
        <v>100</v>
      </c>
      <c r="D29" s="120"/>
      <c r="E29" s="121"/>
      <c r="F29" s="56"/>
      <c r="G29" s="60"/>
      <c r="H29" s="58"/>
      <c r="I29" s="59"/>
      <c r="J29" s="60"/>
      <c r="K29" s="58"/>
      <c r="L29" s="59"/>
      <c r="M29" s="60"/>
      <c r="N29" s="58"/>
      <c r="O29" s="59"/>
      <c r="P29" s="61">
        <f t="shared" si="0"/>
        <v>0</v>
      </c>
      <c r="Q29" s="61">
        <f>P29+'18'!Q29</f>
        <v>149.39100000000005</v>
      </c>
      <c r="R29" s="102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>
      <c r="A30" s="115"/>
      <c r="B30" s="116"/>
      <c r="C30" s="122" t="s">
        <v>102</v>
      </c>
      <c r="D30" s="123"/>
      <c r="E30" s="124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50">
        <f t="shared" si="0"/>
        <v>0</v>
      </c>
      <c r="Q30" s="50">
        <f>P30+'18'!Q30</f>
        <v>0</v>
      </c>
      <c r="R30" s="99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>
      <c r="A31" s="115"/>
      <c r="B31" s="116"/>
      <c r="C31" s="122" t="s">
        <v>101</v>
      </c>
      <c r="D31" s="123"/>
      <c r="E31" s="124"/>
      <c r="F31" s="47"/>
      <c r="G31" s="48"/>
      <c r="H31" s="48"/>
      <c r="I31" s="49"/>
      <c r="J31" s="48"/>
      <c r="K31" s="48"/>
      <c r="L31" s="49"/>
      <c r="M31" s="48"/>
      <c r="N31" s="48"/>
      <c r="O31" s="49"/>
      <c r="P31" s="50">
        <f t="shared" si="0"/>
        <v>0</v>
      </c>
      <c r="Q31" s="50">
        <f>P31+'18'!Q31</f>
        <v>29.603999999999999</v>
      </c>
      <c r="R31" s="99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>
      <c r="A32" s="115"/>
      <c r="B32" s="116"/>
      <c r="C32" s="122" t="s">
        <v>103</v>
      </c>
      <c r="D32" s="123"/>
      <c r="E32" s="124"/>
      <c r="F32" s="47"/>
      <c r="G32" s="48"/>
      <c r="H32" s="48"/>
      <c r="I32" s="49"/>
      <c r="J32" s="48"/>
      <c r="K32" s="48"/>
      <c r="L32" s="49"/>
      <c r="M32" s="49">
        <v>8.625</v>
      </c>
      <c r="N32" s="48"/>
      <c r="O32" s="49" t="s">
        <v>74</v>
      </c>
      <c r="P32" s="50">
        <f t="shared" si="0"/>
        <v>8.625</v>
      </c>
      <c r="Q32" s="50">
        <f>P32+'18'!Q32</f>
        <v>160.00229999999999</v>
      </c>
      <c r="R32" s="99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>
      <c r="A33" s="117"/>
      <c r="B33" s="118"/>
      <c r="C33" s="125" t="s">
        <v>104</v>
      </c>
      <c r="D33" s="126"/>
      <c r="E33" s="127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72">
        <f>G33+J33+M33</f>
        <v>0</v>
      </c>
      <c r="Q33" s="72">
        <f>P33+'18'!Q33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/>
    <row r="35" spans="1:26" ht="14.1" customHeight="1"/>
    <row r="36" spans="1:26" ht="14.1" customHeight="1"/>
    <row r="37" spans="1:26" ht="14.1" customHeight="1"/>
    <row r="38" spans="1:26" ht="14.1" customHeight="1"/>
    <row r="39" spans="1:26" ht="14.1" customHeight="1"/>
    <row r="40" spans="1:26" ht="14.1" customHeight="1"/>
    <row r="41" spans="1:26" ht="14.1" customHeight="1"/>
    <row r="42" spans="1:26" ht="14.1" customHeight="1"/>
    <row r="43" spans="1:26" ht="14.1" customHeight="1"/>
    <row r="44" spans="1:26" ht="14.1" customHeight="1"/>
    <row r="45" spans="1:26" ht="14.1" customHeight="1"/>
    <row r="46" spans="1:26" ht="14.1" customHeight="1"/>
    <row r="47" spans="1:26" ht="14.1" customHeight="1"/>
    <row r="48" spans="1:26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  <row r="58" ht="14.1" customHeight="1"/>
    <row r="59" ht="14.1" customHeight="1"/>
    <row r="60" ht="14.1" customHeight="1"/>
    <row r="61" ht="14.1" customHeight="1"/>
    <row r="62" ht="14.1" customHeight="1"/>
    <row r="63" ht="14.1" customHeight="1"/>
    <row r="64" ht="14.1" customHeight="1"/>
    <row r="65" ht="14.1" customHeight="1"/>
    <row r="66" ht="14.1" customHeight="1"/>
    <row r="67" ht="14.1" customHeight="1"/>
    <row r="68" ht="15" customHeight="1"/>
    <row r="69" ht="12.95" customHeight="1"/>
    <row r="70" ht="14.1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4.1" customHeight="1"/>
    <row r="122" ht="14.1" customHeight="1"/>
    <row r="123" ht="14.1" customHeight="1"/>
    <row r="124" ht="14.1" customHeight="1"/>
    <row r="125" ht="14.1" customHeight="1"/>
    <row r="126" ht="10.5" customHeight="1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2662F3A0-DC17-49CB-A49F-E3F251E9A1C9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81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2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3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4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80283-9566-4B33-88A8-B0E2F3700A6E}">
  <sheetPr codeName="Sheet23"/>
  <dimension ref="A1:Z126"/>
  <sheetViews>
    <sheetView showGridLines="0" zoomScale="85" zoomScaleNormal="85" zoomScaleSheetLayoutView="113" workbookViewId="0">
      <selection activeCell="A11" sqref="A11:E33"/>
    </sheetView>
  </sheetViews>
  <sheetFormatPr defaultColWidth="10.140625" defaultRowHeight="1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7.8554687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6" width="8.42578125" customWidth="1"/>
    <col min="17" max="17" width="9.5703125" customWidth="1"/>
    <col min="18" max="18" width="8.42578125" customWidth="1"/>
    <col min="27" max="16384" width="10.140625" style="9"/>
  </cols>
  <sheetData>
    <row r="1" spans="1:26" ht="15" customHeight="1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>
      <c r="A2" s="10"/>
      <c r="B2" s="10"/>
      <c r="C2" s="10"/>
      <c r="D2" s="10"/>
      <c r="E2" s="10"/>
      <c r="F2" s="10"/>
      <c r="G2" s="173"/>
      <c r="H2" s="173"/>
      <c r="I2" s="173"/>
      <c r="J2" s="173"/>
      <c r="K2" s="173"/>
      <c r="L2" s="173"/>
      <c r="M2" s="10"/>
      <c r="N2" s="11"/>
      <c r="O2" s="174"/>
      <c r="P2" s="174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>
      <c r="A3" s="10"/>
      <c r="B3" s="10"/>
      <c r="C3" s="10"/>
      <c r="D3" s="10"/>
      <c r="E3" s="10"/>
      <c r="F3" s="10"/>
      <c r="G3" s="173"/>
      <c r="H3" s="173"/>
      <c r="I3" s="173"/>
      <c r="J3" s="173"/>
      <c r="K3" s="173"/>
      <c r="L3" s="173"/>
      <c r="M3" s="10"/>
      <c r="N3" s="11"/>
      <c r="O3" s="174"/>
      <c r="P3" s="174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>
      <c r="A4" s="10"/>
      <c r="B4" s="10"/>
      <c r="C4" s="10"/>
      <c r="D4" s="10"/>
      <c r="E4" s="10"/>
      <c r="F4" s="10"/>
      <c r="G4" s="173"/>
      <c r="H4" s="173"/>
      <c r="I4" s="173"/>
      <c r="J4" s="173"/>
      <c r="K4" s="173"/>
      <c r="L4" s="173"/>
      <c r="M4" s="10"/>
      <c r="N4" s="11"/>
      <c r="O4" s="174"/>
      <c r="P4" s="174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>
      <c r="A5" s="169" t="s">
        <v>8</v>
      </c>
      <c r="B5" s="169"/>
      <c r="C5" s="16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>
      <c r="A6" s="169" t="s">
        <v>10</v>
      </c>
      <c r="B6" s="169"/>
      <c r="C6" s="169"/>
      <c r="D6" s="179">
        <f>'19'!D6+1</f>
        <v>46073</v>
      </c>
      <c r="E6" s="179"/>
      <c r="F6" s="28"/>
      <c r="G6" s="171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>
      <c r="A8" s="175" t="s">
        <v>11</v>
      </c>
      <c r="B8" s="175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9"/>
      <c r="T8" s="9"/>
      <c r="U8" s="9"/>
      <c r="V8" s="9"/>
      <c r="W8" s="9"/>
      <c r="X8" s="9"/>
      <c r="Y8" s="9"/>
      <c r="Z8" s="9"/>
    </row>
    <row r="9" spans="1:26" ht="24.95" customHeight="1">
      <c r="A9" s="158" t="s">
        <v>12</v>
      </c>
      <c r="B9" s="159"/>
      <c r="C9" s="162" t="s">
        <v>13</v>
      </c>
      <c r="D9" s="162"/>
      <c r="E9" s="163"/>
      <c r="F9" s="20" t="s">
        <v>14</v>
      </c>
      <c r="G9" s="166" t="s">
        <v>15</v>
      </c>
      <c r="H9" s="167"/>
      <c r="I9" s="21" t="s">
        <v>16</v>
      </c>
      <c r="J9" s="166" t="s">
        <v>17</v>
      </c>
      <c r="K9" s="167"/>
      <c r="L9" s="21" t="s">
        <v>16</v>
      </c>
      <c r="M9" s="166" t="s">
        <v>18</v>
      </c>
      <c r="N9" s="167"/>
      <c r="O9" s="22" t="s">
        <v>16</v>
      </c>
      <c r="P9" s="167" t="s">
        <v>19</v>
      </c>
      <c r="Q9" s="167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>
      <c r="A10" s="160"/>
      <c r="B10" s="161"/>
      <c r="C10" s="164"/>
      <c r="D10" s="164"/>
      <c r="E10" s="165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68"/>
      <c r="Q10" s="168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>
      <c r="A11" s="137">
        <v>101</v>
      </c>
      <c r="B11" s="138"/>
      <c r="C11" s="139" t="s">
        <v>83</v>
      </c>
      <c r="D11" s="139"/>
      <c r="E11" s="140"/>
      <c r="F11" s="41">
        <v>60</v>
      </c>
      <c r="G11" s="42">
        <v>20</v>
      </c>
      <c r="H11" s="43"/>
      <c r="I11" s="44" t="s">
        <v>67</v>
      </c>
      <c r="J11" s="42">
        <v>22.5</v>
      </c>
      <c r="K11" s="43"/>
      <c r="L11" s="44" t="s">
        <v>67</v>
      </c>
      <c r="M11" s="42">
        <v>21.4</v>
      </c>
      <c r="N11" s="43"/>
      <c r="O11" s="44" t="s">
        <v>67</v>
      </c>
      <c r="P11" s="45">
        <f>G11+J11+M11</f>
        <v>63.9</v>
      </c>
      <c r="Q11" s="105">
        <f>P11+'19'!Q11</f>
        <v>1039.9000000000001</v>
      </c>
      <c r="R11" s="97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>
      <c r="A12" s="135"/>
      <c r="B12" s="136"/>
      <c r="C12" s="141" t="s">
        <v>84</v>
      </c>
      <c r="D12" s="141"/>
      <c r="E12" s="142"/>
      <c r="F12" s="47">
        <v>30</v>
      </c>
      <c r="G12" s="48">
        <v>12.7</v>
      </c>
      <c r="H12" s="48"/>
      <c r="I12" s="49" t="s">
        <v>69</v>
      </c>
      <c r="J12" s="48">
        <v>10.6</v>
      </c>
      <c r="K12" s="48"/>
      <c r="L12" s="49" t="s">
        <v>69</v>
      </c>
      <c r="M12" s="48">
        <v>13.4</v>
      </c>
      <c r="N12" s="48"/>
      <c r="O12" s="49" t="s">
        <v>69</v>
      </c>
      <c r="P12" s="50">
        <f t="shared" ref="P12:P32" si="0">G12+J12+M12</f>
        <v>36.699999999999996</v>
      </c>
      <c r="Q12" s="50">
        <f>P12+'19'!Q12</f>
        <v>550.00000000000011</v>
      </c>
      <c r="R12" s="99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>
      <c r="A13" s="130"/>
      <c r="B13" s="131"/>
      <c r="C13" s="143" t="s">
        <v>85</v>
      </c>
      <c r="D13" s="143"/>
      <c r="E13" s="144"/>
      <c r="F13" s="52">
        <v>30</v>
      </c>
      <c r="G13" s="53">
        <v>11.4</v>
      </c>
      <c r="H13" s="53"/>
      <c r="I13" s="54" t="s">
        <v>70</v>
      </c>
      <c r="J13" s="53">
        <v>12.2</v>
      </c>
      <c r="K13" s="53"/>
      <c r="L13" s="54" t="s">
        <v>70</v>
      </c>
      <c r="M13" s="53">
        <v>7.9</v>
      </c>
      <c r="N13" s="53"/>
      <c r="O13" s="54" t="s">
        <v>70</v>
      </c>
      <c r="P13" s="55">
        <f t="shared" si="0"/>
        <v>31.5</v>
      </c>
      <c r="Q13" s="55">
        <f>P13+'19'!Q13</f>
        <v>451.9</v>
      </c>
      <c r="R13" s="99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>
      <c r="A14" s="128">
        <v>102</v>
      </c>
      <c r="B14" s="145"/>
      <c r="C14" s="148" t="s">
        <v>86</v>
      </c>
      <c r="D14" s="149"/>
      <c r="E14" s="150"/>
      <c r="F14" s="56">
        <v>40</v>
      </c>
      <c r="G14" s="57"/>
      <c r="H14" s="58"/>
      <c r="I14" s="59"/>
      <c r="J14" s="60"/>
      <c r="K14" s="58"/>
      <c r="L14" s="59"/>
      <c r="M14" s="60"/>
      <c r="N14" s="58"/>
      <c r="O14" s="59"/>
      <c r="P14" s="61">
        <f t="shared" si="0"/>
        <v>0</v>
      </c>
      <c r="Q14" s="61">
        <f>P14+'19'!Q14</f>
        <v>158.89400000000001</v>
      </c>
      <c r="R14" s="102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>
      <c r="A15" s="146"/>
      <c r="B15" s="147"/>
      <c r="C15" s="151" t="s">
        <v>87</v>
      </c>
      <c r="D15" s="152"/>
      <c r="E15" s="153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50">
        <f t="shared" si="0"/>
        <v>0</v>
      </c>
      <c r="Q15" s="50">
        <f>P15+'19'!Q15</f>
        <v>0</v>
      </c>
      <c r="R15" s="97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>
      <c r="A16" s="146"/>
      <c r="B16" s="147"/>
      <c r="C16" s="154" t="s">
        <v>88</v>
      </c>
      <c r="D16" s="155"/>
      <c r="E16" s="156"/>
      <c r="F16" s="47">
        <f>F14*(2/100)</f>
        <v>0.8</v>
      </c>
      <c r="G16" s="48"/>
      <c r="H16" s="48"/>
      <c r="I16" s="49"/>
      <c r="J16" s="48"/>
      <c r="K16" s="48"/>
      <c r="L16" s="49"/>
      <c r="M16" s="48"/>
      <c r="N16" s="48"/>
      <c r="O16" s="49"/>
      <c r="P16" s="50">
        <f t="shared" si="0"/>
        <v>0</v>
      </c>
      <c r="Q16" s="50">
        <f>P16+'19'!Q16</f>
        <v>12.878699999999998</v>
      </c>
      <c r="R16" s="99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>
      <c r="A17" s="146"/>
      <c r="B17" s="147"/>
      <c r="C17" s="122" t="s">
        <v>89</v>
      </c>
      <c r="D17" s="123"/>
      <c r="E17" s="124"/>
      <c r="F17" s="47">
        <f>F14*12/100</f>
        <v>4.8</v>
      </c>
      <c r="G17" s="48"/>
      <c r="H17" s="48"/>
      <c r="I17" s="49"/>
      <c r="J17" s="48"/>
      <c r="K17" s="48"/>
      <c r="L17" s="49"/>
      <c r="M17" s="48"/>
      <c r="N17" s="48"/>
      <c r="O17" s="49"/>
      <c r="P17" s="50">
        <f t="shared" si="0"/>
        <v>0</v>
      </c>
      <c r="Q17" s="50">
        <f>P17+'19'!Q17</f>
        <v>0.22700000000000001</v>
      </c>
      <c r="R17" s="99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>
      <c r="A18" s="146"/>
      <c r="B18" s="147"/>
      <c r="C18" s="122" t="s">
        <v>90</v>
      </c>
      <c r="D18" s="123"/>
      <c r="E18" s="124"/>
      <c r="F18" s="47" t="s">
        <v>35</v>
      </c>
      <c r="G18" s="48"/>
      <c r="H18" s="48"/>
      <c r="I18" s="49"/>
      <c r="J18" s="48"/>
      <c r="K18" s="48"/>
      <c r="L18" s="49"/>
      <c r="M18" s="48"/>
      <c r="N18" s="48"/>
      <c r="O18" s="49"/>
      <c r="P18" s="50">
        <f t="shared" si="0"/>
        <v>0</v>
      </c>
      <c r="Q18" s="50">
        <f>P18+'19'!Q18</f>
        <v>102.732</v>
      </c>
      <c r="R18" s="99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>
      <c r="A19" s="146"/>
      <c r="B19" s="147"/>
      <c r="C19" s="122" t="s">
        <v>91</v>
      </c>
      <c r="D19" s="123"/>
      <c r="E19" s="124"/>
      <c r="F19" s="47" t="s">
        <v>35</v>
      </c>
      <c r="G19" s="48"/>
      <c r="H19" s="48"/>
      <c r="I19" s="49"/>
      <c r="J19" s="48"/>
      <c r="K19" s="48"/>
      <c r="L19" s="49"/>
      <c r="M19" s="48"/>
      <c r="N19" s="48"/>
      <c r="O19" s="49"/>
      <c r="P19" s="50">
        <f t="shared" si="0"/>
        <v>0</v>
      </c>
      <c r="Q19" s="50">
        <f>P19+'19'!Q19</f>
        <v>34.469000000000001</v>
      </c>
      <c r="R19" s="99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>
      <c r="A20" s="146"/>
      <c r="B20" s="147"/>
      <c r="C20" s="122" t="s">
        <v>92</v>
      </c>
      <c r="D20" s="123"/>
      <c r="E20" s="124"/>
      <c r="F20" s="63" t="s">
        <v>35</v>
      </c>
      <c r="G20" s="48"/>
      <c r="H20" s="48"/>
      <c r="I20" s="49"/>
      <c r="J20" s="48"/>
      <c r="K20" s="48"/>
      <c r="L20" s="49"/>
      <c r="M20" s="48"/>
      <c r="N20" s="48"/>
      <c r="O20" s="49"/>
      <c r="P20" s="50">
        <f t="shared" si="0"/>
        <v>0</v>
      </c>
      <c r="Q20" s="50">
        <f>P20+'19'!Q20</f>
        <v>0.80600000000000005</v>
      </c>
      <c r="R20" s="99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>
      <c r="A21" s="130"/>
      <c r="B21" s="131"/>
      <c r="C21" s="132" t="s">
        <v>93</v>
      </c>
      <c r="D21" s="133"/>
      <c r="E21" s="134"/>
      <c r="F21" s="52">
        <f>F14*(0.5/100)</f>
        <v>0.2</v>
      </c>
      <c r="G21" s="53"/>
      <c r="H21" s="53"/>
      <c r="I21" s="54"/>
      <c r="J21" s="53"/>
      <c r="K21" s="53"/>
      <c r="L21" s="54"/>
      <c r="M21" s="53"/>
      <c r="N21" s="53"/>
      <c r="O21" s="54"/>
      <c r="P21" s="55">
        <f t="shared" si="0"/>
        <v>0</v>
      </c>
      <c r="Q21" s="55">
        <f>P21+'19'!Q21</f>
        <v>7.8379000000000003</v>
      </c>
      <c r="R21" s="99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>
      <c r="A22" s="128" t="s">
        <v>105</v>
      </c>
      <c r="B22" s="129"/>
      <c r="C22" s="119" t="s">
        <v>94</v>
      </c>
      <c r="D22" s="120"/>
      <c r="E22" s="121"/>
      <c r="F22" s="56">
        <v>24</v>
      </c>
      <c r="G22" s="60">
        <v>8.8219999999999992</v>
      </c>
      <c r="H22" s="58"/>
      <c r="I22" s="65" t="s">
        <v>41</v>
      </c>
      <c r="J22" s="60">
        <v>8.8170000000000002</v>
      </c>
      <c r="K22" s="58"/>
      <c r="L22" s="65" t="s">
        <v>41</v>
      </c>
      <c r="M22" s="60">
        <v>8.8130000000000006</v>
      </c>
      <c r="N22" s="58"/>
      <c r="O22" s="65" t="s">
        <v>41</v>
      </c>
      <c r="P22" s="61">
        <f t="shared" si="0"/>
        <v>26.451999999999998</v>
      </c>
      <c r="Q22" s="61">
        <f>P22+'19'!Q22</f>
        <v>255.67899999999997</v>
      </c>
      <c r="R22" s="102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>
      <c r="A23" s="130"/>
      <c r="B23" s="131"/>
      <c r="C23" s="132" t="s">
        <v>95</v>
      </c>
      <c r="D23" s="133"/>
      <c r="E23" s="134"/>
      <c r="F23" s="52">
        <v>24</v>
      </c>
      <c r="G23" s="53">
        <v>8.6620000000000008</v>
      </c>
      <c r="H23" s="53"/>
      <c r="I23" s="66" t="s">
        <v>43</v>
      </c>
      <c r="J23" s="60">
        <v>8.9740000000000002</v>
      </c>
      <c r="K23" s="53"/>
      <c r="L23" s="66" t="s">
        <v>43</v>
      </c>
      <c r="M23" s="53">
        <v>8.6349999999999998</v>
      </c>
      <c r="N23" s="53"/>
      <c r="O23" s="66" t="s">
        <v>43</v>
      </c>
      <c r="P23" s="55">
        <f>M23+J23+G23</f>
        <v>26.271000000000001</v>
      </c>
      <c r="Q23" s="55">
        <f>P23+'19'!Q23</f>
        <v>248.97829999999999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>
      <c r="A24" s="128" t="s">
        <v>106</v>
      </c>
      <c r="B24" s="129"/>
      <c r="C24" s="119" t="s">
        <v>96</v>
      </c>
      <c r="D24" s="120"/>
      <c r="E24" s="121"/>
      <c r="F24" s="56">
        <v>24</v>
      </c>
      <c r="G24" s="60">
        <v>8.7899999999999991</v>
      </c>
      <c r="H24" s="58"/>
      <c r="I24" s="59" t="s">
        <v>43</v>
      </c>
      <c r="J24" s="9">
        <v>8.7919999999999998</v>
      </c>
      <c r="K24" s="58"/>
      <c r="L24" s="59" t="s">
        <v>43</v>
      </c>
      <c r="M24" s="60">
        <v>8.81</v>
      </c>
      <c r="N24" s="58"/>
      <c r="O24" s="59" t="s">
        <v>43</v>
      </c>
      <c r="P24" s="61">
        <f>G24+J23+M24</f>
        <v>26.573999999999998</v>
      </c>
      <c r="Q24" s="61">
        <f>P24+'19'!Q24</f>
        <v>293.27699999999999</v>
      </c>
      <c r="R24" s="97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>
      <c r="A25" s="135"/>
      <c r="B25" s="136"/>
      <c r="C25" s="122" t="s">
        <v>46</v>
      </c>
      <c r="D25" s="123"/>
      <c r="E25" s="124"/>
      <c r="F25" s="47" t="s">
        <v>35</v>
      </c>
      <c r="G25" s="48">
        <v>0.152</v>
      </c>
      <c r="H25" s="48"/>
      <c r="I25" s="49" t="s">
        <v>77</v>
      </c>
      <c r="J25" s="48">
        <v>0.15279999999999999</v>
      </c>
      <c r="K25" s="48"/>
      <c r="L25" s="49" t="s">
        <v>77</v>
      </c>
      <c r="M25" s="48">
        <v>0.152</v>
      </c>
      <c r="N25" s="48"/>
      <c r="O25" s="49" t="s">
        <v>77</v>
      </c>
      <c r="P25" s="50">
        <f t="shared" si="0"/>
        <v>0.45679999999999998</v>
      </c>
      <c r="Q25" s="50">
        <f>P25+'19'!Q25</f>
        <v>6.9587999999999992</v>
      </c>
      <c r="R25" s="99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>
      <c r="A26" s="135"/>
      <c r="B26" s="136"/>
      <c r="C26" s="122" t="s">
        <v>97</v>
      </c>
      <c r="D26" s="123"/>
      <c r="E26" s="124"/>
      <c r="F26" s="47" t="s">
        <v>35</v>
      </c>
      <c r="G26" s="48">
        <v>8.41</v>
      </c>
      <c r="H26" s="48"/>
      <c r="I26" s="49" t="s">
        <v>80</v>
      </c>
      <c r="J26" s="48">
        <v>8.423</v>
      </c>
      <c r="K26" s="48"/>
      <c r="L26" s="49" t="s">
        <v>80</v>
      </c>
      <c r="M26" s="48">
        <v>8.4220000000000006</v>
      </c>
      <c r="N26" s="48"/>
      <c r="O26" s="49" t="s">
        <v>80</v>
      </c>
      <c r="P26" s="50">
        <f t="shared" si="0"/>
        <v>25.254999999999999</v>
      </c>
      <c r="Q26" s="50">
        <f>P26+'19'!Q26</f>
        <v>275.25800000000004</v>
      </c>
      <c r="R26" s="99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>
      <c r="A27" s="135"/>
      <c r="B27" s="136"/>
      <c r="C27" s="122" t="s">
        <v>98</v>
      </c>
      <c r="D27" s="123"/>
      <c r="E27" s="124"/>
      <c r="F27" s="47" t="s">
        <v>35</v>
      </c>
      <c r="G27" s="48">
        <v>0</v>
      </c>
      <c r="H27" s="48"/>
      <c r="I27" s="49" t="s">
        <v>79</v>
      </c>
      <c r="J27" s="48">
        <v>0</v>
      </c>
      <c r="K27" s="48"/>
      <c r="L27" s="49" t="s">
        <v>79</v>
      </c>
      <c r="M27" s="48">
        <v>0</v>
      </c>
      <c r="N27" s="48"/>
      <c r="O27" s="49" t="s">
        <v>79</v>
      </c>
      <c r="P27" s="50">
        <f t="shared" si="0"/>
        <v>0</v>
      </c>
      <c r="Q27" s="50">
        <f>P27+'19'!Q27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>
      <c r="A28" s="130"/>
      <c r="B28" s="131"/>
      <c r="C28" s="132" t="s">
        <v>99</v>
      </c>
      <c r="D28" s="133"/>
      <c r="E28" s="134"/>
      <c r="F28" s="52" t="s">
        <v>35</v>
      </c>
      <c r="G28" s="53">
        <v>0.24460000000000001</v>
      </c>
      <c r="H28" s="53"/>
      <c r="I28" s="54" t="s">
        <v>53</v>
      </c>
      <c r="J28" s="53">
        <v>0.23280000000000001</v>
      </c>
      <c r="K28" s="53"/>
      <c r="L28" s="54" t="s">
        <v>53</v>
      </c>
      <c r="M28" s="53">
        <v>0.23899999999999999</v>
      </c>
      <c r="N28" s="53"/>
      <c r="O28" s="54" t="s">
        <v>53</v>
      </c>
      <c r="P28" s="55">
        <f t="shared" si="0"/>
        <v>0.71640000000000004</v>
      </c>
      <c r="Q28" s="55">
        <f>P28+'19'!Q28</f>
        <v>11.852</v>
      </c>
      <c r="R28" s="97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>
      <c r="A29" s="113">
        <v>104</v>
      </c>
      <c r="B29" s="114"/>
      <c r="C29" s="119" t="s">
        <v>100</v>
      </c>
      <c r="D29" s="120"/>
      <c r="E29" s="121"/>
      <c r="F29" s="56"/>
      <c r="G29" s="60">
        <v>12.564</v>
      </c>
      <c r="H29" s="58"/>
      <c r="I29" s="59" t="s">
        <v>55</v>
      </c>
      <c r="J29" s="60">
        <v>0</v>
      </c>
      <c r="K29" s="58"/>
      <c r="L29" s="59" t="s">
        <v>55</v>
      </c>
      <c r="M29" s="60"/>
      <c r="N29" s="58"/>
      <c r="O29" s="59" t="s">
        <v>55</v>
      </c>
      <c r="P29" s="61">
        <f t="shared" si="0"/>
        <v>12.564</v>
      </c>
      <c r="Q29" s="61">
        <f>P29+'19'!Q29</f>
        <v>161.95500000000004</v>
      </c>
      <c r="R29" s="102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>
      <c r="A30" s="115"/>
      <c r="B30" s="116"/>
      <c r="C30" s="122" t="s">
        <v>102</v>
      </c>
      <c r="D30" s="123"/>
      <c r="E30" s="124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50">
        <f t="shared" si="0"/>
        <v>0</v>
      </c>
      <c r="Q30" s="50">
        <f>P30+'19'!Q30</f>
        <v>0</v>
      </c>
      <c r="R30" s="99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>
      <c r="A31" s="115"/>
      <c r="B31" s="116"/>
      <c r="C31" s="122" t="s">
        <v>101</v>
      </c>
      <c r="D31" s="123"/>
      <c r="E31" s="124"/>
      <c r="F31" s="47"/>
      <c r="G31" s="48">
        <v>2.4660000000000002</v>
      </c>
      <c r="H31" s="48"/>
      <c r="I31" s="49" t="s">
        <v>58</v>
      </c>
      <c r="J31" s="48">
        <v>0</v>
      </c>
      <c r="K31" s="48"/>
      <c r="L31" s="49" t="s">
        <v>58</v>
      </c>
      <c r="M31" s="48"/>
      <c r="N31" s="48"/>
      <c r="O31" s="49" t="s">
        <v>58</v>
      </c>
      <c r="P31" s="50">
        <f t="shared" si="0"/>
        <v>2.4660000000000002</v>
      </c>
      <c r="Q31" s="50">
        <f>P31+'19'!Q31</f>
        <v>32.07</v>
      </c>
      <c r="R31" s="99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>
      <c r="A32" s="115"/>
      <c r="B32" s="116"/>
      <c r="C32" s="122" t="s">
        <v>103</v>
      </c>
      <c r="D32" s="123"/>
      <c r="E32" s="124"/>
      <c r="F32" s="47"/>
      <c r="G32" s="48">
        <v>4.2366099999999998</v>
      </c>
      <c r="H32" s="48"/>
      <c r="I32" s="49" t="s">
        <v>74</v>
      </c>
      <c r="J32" s="48">
        <v>0</v>
      </c>
      <c r="K32" s="48"/>
      <c r="L32" s="49" t="s">
        <v>74</v>
      </c>
      <c r="M32" s="107">
        <v>1.2649999999999999</v>
      </c>
      <c r="N32" s="48"/>
      <c r="O32" s="49" t="s">
        <v>74</v>
      </c>
      <c r="P32" s="50">
        <f t="shared" si="0"/>
        <v>5.5016099999999994</v>
      </c>
      <c r="Q32" s="50">
        <f>P32+'19'!Q32</f>
        <v>165.50390999999999</v>
      </c>
      <c r="R32" s="99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>
      <c r="A33" s="117"/>
      <c r="B33" s="118"/>
      <c r="C33" s="125" t="s">
        <v>104</v>
      </c>
      <c r="D33" s="126"/>
      <c r="E33" s="127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72">
        <f>G33+J33+M33</f>
        <v>0</v>
      </c>
      <c r="Q33" s="72">
        <f>P33+'19'!Q33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/>
    <row r="35" spans="1:26" ht="14.1" customHeight="1"/>
    <row r="36" spans="1:26" ht="14.1" customHeight="1"/>
    <row r="37" spans="1:26" ht="14.1" customHeight="1"/>
    <row r="38" spans="1:26" ht="14.1" customHeight="1"/>
    <row r="39" spans="1:26" ht="14.1" customHeight="1"/>
    <row r="40" spans="1:26" ht="14.1" customHeight="1"/>
    <row r="41" spans="1:26" ht="14.1" customHeight="1"/>
    <row r="42" spans="1:26" ht="14.1" customHeight="1"/>
    <row r="43" spans="1:26" ht="14.1" customHeight="1"/>
    <row r="44" spans="1:26" ht="14.1" customHeight="1"/>
    <row r="45" spans="1:26" ht="14.1" customHeight="1"/>
    <row r="46" spans="1:26" ht="14.1" customHeight="1"/>
    <row r="47" spans="1:26" ht="14.1" customHeight="1"/>
    <row r="48" spans="1:26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  <row r="58" ht="14.1" customHeight="1"/>
    <row r="59" ht="14.1" customHeight="1"/>
    <row r="60" ht="14.1" customHeight="1"/>
    <row r="61" ht="14.1" customHeight="1"/>
    <row r="62" ht="14.1" customHeight="1"/>
    <row r="63" ht="14.1" customHeight="1"/>
    <row r="64" ht="14.1" customHeight="1"/>
    <row r="65" ht="14.1" customHeight="1"/>
    <row r="66" ht="14.1" customHeight="1"/>
    <row r="67" ht="14.1" customHeight="1"/>
    <row r="68" ht="15" customHeight="1"/>
    <row r="69" ht="12.95" customHeight="1"/>
    <row r="70" ht="14.1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4.1" customHeight="1"/>
    <row r="122" ht="14.1" customHeight="1"/>
    <row r="123" ht="14.1" customHeight="1"/>
    <row r="124" ht="14.1" customHeight="1"/>
    <row r="125" ht="14.1" customHeight="1"/>
    <row r="126" ht="10.5" customHeight="1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7A5F6B3E-6FBA-4FC6-86C8-EAAAB319D841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505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180975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6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180975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7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180975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8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D5CDE-DA1D-43F2-97CC-1C7343A6BD67}">
  <sheetPr codeName="Sheet24"/>
  <dimension ref="A1:Z126"/>
  <sheetViews>
    <sheetView showGridLines="0" zoomScale="85" zoomScaleNormal="85" zoomScaleSheetLayoutView="113" workbookViewId="0">
      <selection activeCell="A11" sqref="A11:E33"/>
    </sheetView>
  </sheetViews>
  <sheetFormatPr defaultColWidth="10.140625" defaultRowHeight="1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7.8554687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6" width="8.42578125" customWidth="1"/>
    <col min="17" max="17" width="9.7109375" customWidth="1"/>
    <col min="18" max="18" width="8.42578125" customWidth="1"/>
    <col min="27" max="16384" width="10.140625" style="9"/>
  </cols>
  <sheetData>
    <row r="1" spans="1:26" ht="15" customHeight="1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>
      <c r="A2" s="10"/>
      <c r="B2" s="10"/>
      <c r="C2" s="10"/>
      <c r="D2" s="10"/>
      <c r="E2" s="10"/>
      <c r="F2" s="10"/>
      <c r="G2" s="173"/>
      <c r="H2" s="173"/>
      <c r="I2" s="173"/>
      <c r="J2" s="173"/>
      <c r="K2" s="173"/>
      <c r="L2" s="173"/>
      <c r="M2" s="10"/>
      <c r="N2" s="11"/>
      <c r="O2" s="174"/>
      <c r="P2" s="174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>
      <c r="A3" s="10"/>
      <c r="B3" s="10"/>
      <c r="C3" s="10"/>
      <c r="D3" s="10"/>
      <c r="E3" s="10"/>
      <c r="F3" s="10"/>
      <c r="G3" s="173"/>
      <c r="H3" s="173"/>
      <c r="I3" s="173"/>
      <c r="J3" s="173"/>
      <c r="K3" s="173"/>
      <c r="L3" s="173"/>
      <c r="M3" s="10"/>
      <c r="N3" s="11"/>
      <c r="O3" s="174"/>
      <c r="P3" s="174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>
      <c r="A4" s="10"/>
      <c r="B4" s="10"/>
      <c r="C4" s="10"/>
      <c r="D4" s="10"/>
      <c r="E4" s="10"/>
      <c r="F4" s="10"/>
      <c r="G4" s="173"/>
      <c r="H4" s="173"/>
      <c r="I4" s="173"/>
      <c r="J4" s="173"/>
      <c r="K4" s="173"/>
      <c r="L4" s="173"/>
      <c r="M4" s="10"/>
      <c r="N4" s="11"/>
      <c r="O4" s="174"/>
      <c r="P4" s="174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>
      <c r="A5" s="169" t="s">
        <v>8</v>
      </c>
      <c r="B5" s="169"/>
      <c r="C5" s="16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>
      <c r="A6" s="169" t="s">
        <v>10</v>
      </c>
      <c r="B6" s="169"/>
      <c r="C6" s="169"/>
      <c r="D6" s="179">
        <f>'20'!D6+1</f>
        <v>46074</v>
      </c>
      <c r="E6" s="179"/>
      <c r="F6" s="28"/>
      <c r="G6" s="171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>
      <c r="A8" s="175" t="s">
        <v>11</v>
      </c>
      <c r="B8" s="175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9"/>
      <c r="T8" s="9"/>
      <c r="U8" s="9"/>
      <c r="V8" s="9"/>
      <c r="W8" s="9"/>
      <c r="X8" s="9"/>
      <c r="Y8" s="9"/>
      <c r="Z8" s="9"/>
    </row>
    <row r="9" spans="1:26" ht="24.95" customHeight="1">
      <c r="A9" s="158" t="s">
        <v>12</v>
      </c>
      <c r="B9" s="159"/>
      <c r="C9" s="162" t="s">
        <v>13</v>
      </c>
      <c r="D9" s="162"/>
      <c r="E9" s="163"/>
      <c r="F9" s="20" t="s">
        <v>14</v>
      </c>
      <c r="G9" s="166" t="s">
        <v>15</v>
      </c>
      <c r="H9" s="167"/>
      <c r="I9" s="21" t="s">
        <v>16</v>
      </c>
      <c r="J9" s="166" t="s">
        <v>17</v>
      </c>
      <c r="K9" s="167"/>
      <c r="L9" s="21" t="s">
        <v>16</v>
      </c>
      <c r="M9" s="166" t="s">
        <v>18</v>
      </c>
      <c r="N9" s="167"/>
      <c r="O9" s="22" t="s">
        <v>16</v>
      </c>
      <c r="P9" s="167" t="s">
        <v>19</v>
      </c>
      <c r="Q9" s="167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>
      <c r="A10" s="160"/>
      <c r="B10" s="161"/>
      <c r="C10" s="164"/>
      <c r="D10" s="164"/>
      <c r="E10" s="165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68"/>
      <c r="Q10" s="168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>
      <c r="A11" s="137">
        <v>101</v>
      </c>
      <c r="B11" s="138"/>
      <c r="C11" s="139" t="s">
        <v>83</v>
      </c>
      <c r="D11" s="139"/>
      <c r="E11" s="140"/>
      <c r="F11" s="41">
        <v>60</v>
      </c>
      <c r="G11" s="42">
        <v>19.100000000000001</v>
      </c>
      <c r="H11" s="43"/>
      <c r="I11" s="44" t="s">
        <v>67</v>
      </c>
      <c r="J11" s="42">
        <v>6.7</v>
      </c>
      <c r="K11" s="43"/>
      <c r="L11" s="44" t="s">
        <v>67</v>
      </c>
      <c r="M11" s="42">
        <v>0</v>
      </c>
      <c r="N11" s="43"/>
      <c r="O11" s="44" t="s">
        <v>67</v>
      </c>
      <c r="P11" s="45">
        <f>G11+J11+M11</f>
        <v>25.8</v>
      </c>
      <c r="Q11" s="105">
        <f>P11+'20'!Q11</f>
        <v>1065.7</v>
      </c>
      <c r="R11" s="97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>
      <c r="A12" s="135"/>
      <c r="B12" s="136"/>
      <c r="C12" s="141" t="s">
        <v>84</v>
      </c>
      <c r="D12" s="141"/>
      <c r="E12" s="142"/>
      <c r="F12" s="47">
        <v>30</v>
      </c>
      <c r="G12" s="48">
        <v>9.5</v>
      </c>
      <c r="H12" s="48"/>
      <c r="I12" s="49" t="s">
        <v>69</v>
      </c>
      <c r="J12" s="48">
        <v>13.9</v>
      </c>
      <c r="K12" s="48"/>
      <c r="L12" s="49" t="s">
        <v>69</v>
      </c>
      <c r="M12" s="48">
        <v>10.1</v>
      </c>
      <c r="N12" s="48"/>
      <c r="O12" s="49" t="s">
        <v>69</v>
      </c>
      <c r="P12" s="50">
        <f t="shared" ref="P12:P32" si="0">G12+J12+M12</f>
        <v>33.5</v>
      </c>
      <c r="Q12" s="50">
        <f>P12+'20'!Q12</f>
        <v>583.50000000000011</v>
      </c>
      <c r="R12" s="99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>
      <c r="A13" s="130"/>
      <c r="B13" s="131"/>
      <c r="C13" s="143" t="s">
        <v>85</v>
      </c>
      <c r="D13" s="143"/>
      <c r="E13" s="144"/>
      <c r="F13" s="52">
        <v>30</v>
      </c>
      <c r="G13" s="53">
        <v>8.1</v>
      </c>
      <c r="H13" s="53"/>
      <c r="I13" s="54" t="s">
        <v>70</v>
      </c>
      <c r="J13" s="53">
        <v>11.5</v>
      </c>
      <c r="K13" s="53"/>
      <c r="L13" s="54" t="s">
        <v>70</v>
      </c>
      <c r="M13" s="53">
        <v>17.2</v>
      </c>
      <c r="N13" s="53"/>
      <c r="O13" s="54" t="s">
        <v>70</v>
      </c>
      <c r="P13" s="55">
        <f t="shared" si="0"/>
        <v>36.799999999999997</v>
      </c>
      <c r="Q13" s="55">
        <f>P13+'20'!Q13</f>
        <v>488.7</v>
      </c>
      <c r="R13" s="99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>
      <c r="A14" s="128">
        <v>102</v>
      </c>
      <c r="B14" s="145"/>
      <c r="C14" s="148" t="s">
        <v>86</v>
      </c>
      <c r="D14" s="149"/>
      <c r="E14" s="150"/>
      <c r="F14" s="56">
        <v>40</v>
      </c>
      <c r="G14" s="57"/>
      <c r="H14" s="58"/>
      <c r="I14" s="59"/>
      <c r="J14" s="60"/>
      <c r="K14" s="58"/>
      <c r="L14" s="59"/>
      <c r="M14" s="60"/>
      <c r="N14" s="58"/>
      <c r="O14" s="59"/>
      <c r="P14" s="61">
        <f t="shared" si="0"/>
        <v>0</v>
      </c>
      <c r="Q14" s="61">
        <f>P14+'20'!Q14</f>
        <v>158.89400000000001</v>
      </c>
      <c r="R14" s="102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>
      <c r="A15" s="146"/>
      <c r="B15" s="147"/>
      <c r="C15" s="151" t="s">
        <v>87</v>
      </c>
      <c r="D15" s="152"/>
      <c r="E15" s="153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50">
        <f t="shared" si="0"/>
        <v>0</v>
      </c>
      <c r="Q15" s="50">
        <f>P15+'20'!Q15</f>
        <v>0</v>
      </c>
      <c r="R15" s="97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>
      <c r="A16" s="146"/>
      <c r="B16" s="147"/>
      <c r="C16" s="154" t="s">
        <v>88</v>
      </c>
      <c r="D16" s="155"/>
      <c r="E16" s="156"/>
      <c r="F16" s="47">
        <f>F14*(2/100)</f>
        <v>0.8</v>
      </c>
      <c r="G16" s="48"/>
      <c r="H16" s="48"/>
      <c r="I16" s="49"/>
      <c r="J16" s="48"/>
      <c r="K16" s="48"/>
      <c r="L16" s="49"/>
      <c r="M16" s="48"/>
      <c r="N16" s="48"/>
      <c r="O16" s="49"/>
      <c r="P16" s="50">
        <f t="shared" si="0"/>
        <v>0</v>
      </c>
      <c r="Q16" s="50">
        <f>P16+'20'!Q16</f>
        <v>12.878699999999998</v>
      </c>
      <c r="R16" s="99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>
      <c r="A17" s="146"/>
      <c r="B17" s="147"/>
      <c r="C17" s="122" t="s">
        <v>89</v>
      </c>
      <c r="D17" s="123"/>
      <c r="E17" s="124"/>
      <c r="F17" s="47">
        <f>F14*12/100</f>
        <v>4.8</v>
      </c>
      <c r="G17" s="48"/>
      <c r="H17" s="48"/>
      <c r="I17" s="49"/>
      <c r="J17" s="48"/>
      <c r="K17" s="48"/>
      <c r="L17" s="49"/>
      <c r="M17" s="48"/>
      <c r="N17" s="48"/>
      <c r="O17" s="49"/>
      <c r="P17" s="50">
        <f t="shared" si="0"/>
        <v>0</v>
      </c>
      <c r="Q17" s="50">
        <f>P17+'20'!Q17</f>
        <v>0.22700000000000001</v>
      </c>
      <c r="R17" s="99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>
      <c r="A18" s="146"/>
      <c r="B18" s="147"/>
      <c r="C18" s="122" t="s">
        <v>90</v>
      </c>
      <c r="D18" s="123"/>
      <c r="E18" s="124"/>
      <c r="F18" s="47" t="s">
        <v>35</v>
      </c>
      <c r="G18" s="48"/>
      <c r="H18" s="48"/>
      <c r="I18" s="49"/>
      <c r="J18" s="48"/>
      <c r="K18" s="48"/>
      <c r="L18" s="49"/>
      <c r="M18" s="48"/>
      <c r="N18" s="48"/>
      <c r="O18" s="49"/>
      <c r="P18" s="50">
        <f t="shared" si="0"/>
        <v>0</v>
      </c>
      <c r="Q18" s="50">
        <f>P18+'20'!Q18</f>
        <v>102.732</v>
      </c>
      <c r="R18" s="99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>
      <c r="A19" s="146"/>
      <c r="B19" s="147"/>
      <c r="C19" s="122" t="s">
        <v>91</v>
      </c>
      <c r="D19" s="123"/>
      <c r="E19" s="124"/>
      <c r="F19" s="47" t="s">
        <v>35</v>
      </c>
      <c r="G19" s="48"/>
      <c r="H19" s="48"/>
      <c r="I19" s="49"/>
      <c r="J19" s="48"/>
      <c r="K19" s="48"/>
      <c r="L19" s="49"/>
      <c r="M19" s="48"/>
      <c r="N19" s="48"/>
      <c r="O19" s="49"/>
      <c r="P19" s="50">
        <f t="shared" si="0"/>
        <v>0</v>
      </c>
      <c r="Q19" s="50">
        <f>P19+'20'!Q19</f>
        <v>34.469000000000001</v>
      </c>
      <c r="R19" s="99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>
      <c r="A20" s="146"/>
      <c r="B20" s="147"/>
      <c r="C20" s="122" t="s">
        <v>92</v>
      </c>
      <c r="D20" s="123"/>
      <c r="E20" s="124"/>
      <c r="F20" s="63" t="s">
        <v>35</v>
      </c>
      <c r="G20" s="48"/>
      <c r="H20" s="48"/>
      <c r="I20" s="49"/>
      <c r="J20" s="48"/>
      <c r="K20" s="48"/>
      <c r="L20" s="49"/>
      <c r="M20" s="48"/>
      <c r="N20" s="48"/>
      <c r="O20" s="49"/>
      <c r="P20" s="50">
        <f t="shared" si="0"/>
        <v>0</v>
      </c>
      <c r="Q20" s="50">
        <f>P20+'20'!Q20</f>
        <v>0.80600000000000005</v>
      </c>
      <c r="R20" s="99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>
      <c r="A21" s="130"/>
      <c r="B21" s="131"/>
      <c r="C21" s="132" t="s">
        <v>93</v>
      </c>
      <c r="D21" s="133"/>
      <c r="E21" s="134"/>
      <c r="F21" s="52">
        <f>F14*(0.5/100)</f>
        <v>0.2</v>
      </c>
      <c r="G21" s="53"/>
      <c r="H21" s="53"/>
      <c r="I21" s="54"/>
      <c r="J21" s="53"/>
      <c r="K21" s="53"/>
      <c r="L21" s="54"/>
      <c r="M21" s="53"/>
      <c r="N21" s="53"/>
      <c r="O21" s="54"/>
      <c r="P21" s="55">
        <f t="shared" si="0"/>
        <v>0</v>
      </c>
      <c r="Q21" s="55">
        <f>P21+'20'!Q21</f>
        <v>7.8379000000000003</v>
      </c>
      <c r="R21" s="99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>
      <c r="A22" s="128" t="s">
        <v>105</v>
      </c>
      <c r="B22" s="129"/>
      <c r="C22" s="119" t="s">
        <v>94</v>
      </c>
      <c r="D22" s="120"/>
      <c r="E22" s="121"/>
      <c r="F22" s="56">
        <v>24</v>
      </c>
      <c r="G22" s="60">
        <v>5.7060000000000004</v>
      </c>
      <c r="H22" s="58"/>
      <c r="I22" s="65" t="s">
        <v>41</v>
      </c>
      <c r="J22" s="60">
        <v>2.8000000000000001E-2</v>
      </c>
      <c r="K22" s="58"/>
      <c r="L22" s="65" t="s">
        <v>41</v>
      </c>
      <c r="M22" s="60"/>
      <c r="N22" s="58"/>
      <c r="O22" s="65" t="s">
        <v>41</v>
      </c>
      <c r="P22" s="61">
        <f t="shared" si="0"/>
        <v>5.734</v>
      </c>
      <c r="Q22" s="61">
        <f>P22+'20'!Q22</f>
        <v>261.41299999999995</v>
      </c>
      <c r="R22" s="102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>
      <c r="A23" s="130"/>
      <c r="B23" s="131"/>
      <c r="C23" s="132" t="s">
        <v>95</v>
      </c>
      <c r="D23" s="133"/>
      <c r="E23" s="134"/>
      <c r="F23" s="52">
        <v>24</v>
      </c>
      <c r="G23" s="53">
        <v>8.6150000000000002</v>
      </c>
      <c r="H23" s="53"/>
      <c r="I23" s="66" t="s">
        <v>43</v>
      </c>
      <c r="J23" s="53">
        <v>0.33500000000000002</v>
      </c>
      <c r="K23" s="53"/>
      <c r="L23" s="66" t="s">
        <v>43</v>
      </c>
      <c r="M23" s="53"/>
      <c r="N23" s="53"/>
      <c r="O23" s="66" t="s">
        <v>43</v>
      </c>
      <c r="P23" s="55">
        <f t="shared" si="0"/>
        <v>8.9500000000000011</v>
      </c>
      <c r="Q23" s="55">
        <f>P23+'20'!Q23</f>
        <v>257.92829999999998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>
      <c r="A24" s="128" t="s">
        <v>106</v>
      </c>
      <c r="B24" s="129"/>
      <c r="C24" s="119" t="s">
        <v>96</v>
      </c>
      <c r="D24" s="120"/>
      <c r="E24" s="121"/>
      <c r="F24" s="56">
        <v>24</v>
      </c>
      <c r="G24" s="60">
        <v>8.8030000000000008</v>
      </c>
      <c r="H24" s="58"/>
      <c r="I24" s="59" t="s">
        <v>43</v>
      </c>
      <c r="J24" s="60">
        <v>8.8030000000000008</v>
      </c>
      <c r="K24" s="58"/>
      <c r="L24" s="59" t="s">
        <v>43</v>
      </c>
      <c r="M24" s="60">
        <v>8.81</v>
      </c>
      <c r="N24" s="58"/>
      <c r="O24" s="59" t="s">
        <v>43</v>
      </c>
      <c r="P24" s="61">
        <f t="shared" si="0"/>
        <v>26.416000000000004</v>
      </c>
      <c r="Q24" s="61">
        <f>P24+'20'!Q24</f>
        <v>319.69299999999998</v>
      </c>
      <c r="R24" s="97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>
      <c r="A25" s="135"/>
      <c r="B25" s="136"/>
      <c r="C25" s="122" t="s">
        <v>46</v>
      </c>
      <c r="D25" s="123"/>
      <c r="E25" s="124"/>
      <c r="F25" s="47" t="s">
        <v>35</v>
      </c>
      <c r="G25" s="48">
        <v>0.1525</v>
      </c>
      <c r="H25" s="48"/>
      <c r="I25" s="49" t="s">
        <v>77</v>
      </c>
      <c r="J25" s="48">
        <v>0.1525</v>
      </c>
      <c r="K25" s="48"/>
      <c r="L25" s="49" t="s">
        <v>77</v>
      </c>
      <c r="M25" s="48">
        <v>0.153</v>
      </c>
      <c r="N25" s="48"/>
      <c r="O25" s="49" t="s">
        <v>77</v>
      </c>
      <c r="P25" s="50">
        <f t="shared" si="0"/>
        <v>0.45799999999999996</v>
      </c>
      <c r="Q25" s="50">
        <f>P25+'20'!Q25</f>
        <v>7.4167999999999994</v>
      </c>
      <c r="R25" s="99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>
      <c r="A26" s="135"/>
      <c r="B26" s="136"/>
      <c r="C26" s="122" t="s">
        <v>97</v>
      </c>
      <c r="D26" s="123"/>
      <c r="E26" s="124"/>
      <c r="F26" s="47" t="s">
        <v>35</v>
      </c>
      <c r="G26" s="48">
        <v>8.423</v>
      </c>
      <c r="H26" s="48"/>
      <c r="I26" s="49" t="s">
        <v>80</v>
      </c>
      <c r="J26" s="48">
        <v>8.423</v>
      </c>
      <c r="K26" s="48"/>
      <c r="L26" s="49" t="s">
        <v>80</v>
      </c>
      <c r="M26" s="48">
        <v>8.4209999999999994</v>
      </c>
      <c r="N26" s="48"/>
      <c r="O26" s="49" t="s">
        <v>80</v>
      </c>
      <c r="P26" s="50">
        <f t="shared" si="0"/>
        <v>25.266999999999999</v>
      </c>
      <c r="Q26" s="50">
        <f>P26+'20'!Q26</f>
        <v>300.52500000000003</v>
      </c>
      <c r="R26" s="99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>
      <c r="A27" s="135"/>
      <c r="B27" s="136"/>
      <c r="C27" s="122" t="s">
        <v>98</v>
      </c>
      <c r="D27" s="123"/>
      <c r="E27" s="124"/>
      <c r="F27" s="47" t="s">
        <v>35</v>
      </c>
      <c r="G27" s="48">
        <v>0</v>
      </c>
      <c r="H27" s="48"/>
      <c r="I27" s="49" t="s">
        <v>79</v>
      </c>
      <c r="J27" s="48">
        <v>0</v>
      </c>
      <c r="K27" s="48"/>
      <c r="L27" s="49" t="s">
        <v>79</v>
      </c>
      <c r="M27" s="48">
        <v>0</v>
      </c>
      <c r="N27" s="48"/>
      <c r="O27" s="49" t="s">
        <v>79</v>
      </c>
      <c r="P27" s="50">
        <f t="shared" si="0"/>
        <v>0</v>
      </c>
      <c r="Q27" s="50">
        <f>P27+'20'!Q27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>
      <c r="A28" s="130"/>
      <c r="B28" s="131"/>
      <c r="C28" s="132" t="s">
        <v>99</v>
      </c>
      <c r="D28" s="133"/>
      <c r="E28" s="134"/>
      <c r="F28" s="52" t="s">
        <v>35</v>
      </c>
      <c r="G28" s="53">
        <v>0.24160000000000001</v>
      </c>
      <c r="H28" s="53"/>
      <c r="I28" s="54" t="s">
        <v>53</v>
      </c>
      <c r="J28" s="53">
        <v>0.24160000000000001</v>
      </c>
      <c r="K28" s="53"/>
      <c r="L28" s="54" t="s">
        <v>53</v>
      </c>
      <c r="M28" s="53">
        <v>0.24</v>
      </c>
      <c r="N28" s="53"/>
      <c r="O28" s="54" t="s">
        <v>53</v>
      </c>
      <c r="P28" s="55">
        <f t="shared" si="0"/>
        <v>0.72320000000000007</v>
      </c>
      <c r="Q28" s="55">
        <f>P28+'20'!Q28</f>
        <v>12.575200000000001</v>
      </c>
      <c r="R28" s="97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>
      <c r="A29" s="113">
        <v>104</v>
      </c>
      <c r="B29" s="114"/>
      <c r="C29" s="119" t="s">
        <v>100</v>
      </c>
      <c r="D29" s="120"/>
      <c r="E29" s="121"/>
      <c r="F29" s="56"/>
      <c r="G29" s="60"/>
      <c r="H29" s="58"/>
      <c r="I29" s="59"/>
      <c r="J29" s="60">
        <v>12.276</v>
      </c>
      <c r="K29" s="58"/>
      <c r="L29" s="59" t="s">
        <v>55</v>
      </c>
      <c r="M29" s="60"/>
      <c r="N29" s="58"/>
      <c r="O29" s="59"/>
      <c r="P29" s="61">
        <f t="shared" si="0"/>
        <v>12.276</v>
      </c>
      <c r="Q29" s="61">
        <f>P29+'20'!Q29</f>
        <v>174.23100000000005</v>
      </c>
      <c r="R29" s="102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>
      <c r="A30" s="115"/>
      <c r="B30" s="116"/>
      <c r="C30" s="122" t="s">
        <v>102</v>
      </c>
      <c r="D30" s="123"/>
      <c r="E30" s="124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50">
        <f t="shared" si="0"/>
        <v>0</v>
      </c>
      <c r="Q30" s="50">
        <f>P30+'20'!Q30</f>
        <v>0</v>
      </c>
      <c r="R30" s="99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>
      <c r="A31" s="115"/>
      <c r="B31" s="116"/>
      <c r="C31" s="122" t="s">
        <v>101</v>
      </c>
      <c r="D31" s="123"/>
      <c r="E31" s="124"/>
      <c r="F31" s="47"/>
      <c r="G31" s="48"/>
      <c r="H31" s="48"/>
      <c r="I31" s="49"/>
      <c r="J31" s="48">
        <v>2.4660000000000002</v>
      </c>
      <c r="K31" s="48"/>
      <c r="L31" s="49" t="s">
        <v>58</v>
      </c>
      <c r="M31" s="48"/>
      <c r="N31" s="48"/>
      <c r="O31" s="49"/>
      <c r="P31" s="50">
        <f t="shared" si="0"/>
        <v>2.4660000000000002</v>
      </c>
      <c r="Q31" s="50">
        <f>P31+'20'!Q31</f>
        <v>34.536000000000001</v>
      </c>
      <c r="R31" s="99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>
      <c r="A32" s="115"/>
      <c r="B32" s="116"/>
      <c r="C32" s="122" t="s">
        <v>103</v>
      </c>
      <c r="D32" s="123"/>
      <c r="E32" s="124"/>
      <c r="F32" s="47"/>
      <c r="G32" s="48">
        <v>11.612310000000001</v>
      </c>
      <c r="H32" s="48"/>
      <c r="I32" s="49" t="s">
        <v>74</v>
      </c>
      <c r="J32" s="48">
        <v>0</v>
      </c>
      <c r="K32" s="48"/>
      <c r="L32" s="49" t="s">
        <v>74</v>
      </c>
      <c r="M32" s="49"/>
      <c r="N32" s="48"/>
      <c r="O32" s="49" t="s">
        <v>74</v>
      </c>
      <c r="P32" s="50">
        <f t="shared" si="0"/>
        <v>11.612310000000001</v>
      </c>
      <c r="Q32" s="50">
        <f>P32+'20'!Q32</f>
        <v>177.11622</v>
      </c>
      <c r="R32" s="99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>
      <c r="A33" s="117"/>
      <c r="B33" s="118"/>
      <c r="C33" s="125" t="s">
        <v>104</v>
      </c>
      <c r="D33" s="126"/>
      <c r="E33" s="127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72">
        <f>G33+J33+M33</f>
        <v>0</v>
      </c>
      <c r="Q33" s="72">
        <f>P33+'20'!Q33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/>
    <row r="35" spans="1:26" ht="14.1" customHeight="1"/>
    <row r="36" spans="1:26" ht="14.1" customHeight="1"/>
    <row r="37" spans="1:26" ht="14.1" customHeight="1"/>
    <row r="38" spans="1:26" ht="14.1" customHeight="1"/>
    <row r="39" spans="1:26" ht="14.1" customHeight="1"/>
    <row r="40" spans="1:26" ht="14.1" customHeight="1"/>
    <row r="41" spans="1:26" ht="14.1" customHeight="1"/>
    <row r="42" spans="1:26" ht="14.1" customHeight="1"/>
    <row r="43" spans="1:26" ht="14.1" customHeight="1"/>
    <row r="44" spans="1:26" ht="14.1" customHeight="1"/>
    <row r="45" spans="1:26" ht="14.1" customHeight="1"/>
    <row r="46" spans="1:26" ht="14.1" customHeight="1"/>
    <row r="47" spans="1:26" ht="14.1" customHeight="1"/>
    <row r="48" spans="1:26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  <row r="58" ht="14.1" customHeight="1"/>
    <row r="59" ht="14.1" customHeight="1"/>
    <row r="60" ht="14.1" customHeight="1"/>
    <row r="61" ht="14.1" customHeight="1"/>
    <row r="62" ht="14.1" customHeight="1"/>
    <row r="63" ht="14.1" customHeight="1"/>
    <row r="64" ht="14.1" customHeight="1"/>
    <row r="65" ht="14.1" customHeight="1"/>
    <row r="66" ht="14.1" customHeight="1"/>
    <row r="67" ht="14.1" customHeight="1"/>
    <row r="68" ht="15" customHeight="1"/>
    <row r="69" ht="12.95" customHeight="1"/>
    <row r="70" ht="14.1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4.1" customHeight="1"/>
    <row r="122" ht="14.1" customHeight="1"/>
    <row r="123" ht="14.1" customHeight="1"/>
    <row r="124" ht="14.1" customHeight="1"/>
    <row r="125" ht="14.1" customHeight="1"/>
    <row r="126" ht="10.5" customHeight="1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7D2B5381-54B1-4983-9EE1-39B915AE83F4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529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171450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0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171450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1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171450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2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3BA8D-C0A6-4CAF-9FA6-A6045FFB5A2C}">
  <sheetPr codeName="Sheet25"/>
  <dimension ref="A1:Z126"/>
  <sheetViews>
    <sheetView showGridLines="0" zoomScale="85" zoomScaleNormal="85" zoomScaleSheetLayoutView="113" workbookViewId="0">
      <selection activeCell="A11" sqref="A11:E33"/>
    </sheetView>
  </sheetViews>
  <sheetFormatPr defaultColWidth="10.140625" defaultRowHeight="1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7.8554687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6" width="8.42578125" customWidth="1"/>
    <col min="17" max="17" width="10" customWidth="1"/>
    <col min="18" max="18" width="8.42578125" customWidth="1"/>
    <col min="27" max="16384" width="10.140625" style="9"/>
  </cols>
  <sheetData>
    <row r="1" spans="1:26" ht="15" customHeight="1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>
      <c r="A2" s="10"/>
      <c r="B2" s="10"/>
      <c r="C2" s="10"/>
      <c r="D2" s="10"/>
      <c r="E2" s="10"/>
      <c r="F2" s="10"/>
      <c r="G2" s="173"/>
      <c r="H2" s="173"/>
      <c r="I2" s="173"/>
      <c r="J2" s="173"/>
      <c r="K2" s="173"/>
      <c r="L2" s="173"/>
      <c r="M2" s="10"/>
      <c r="N2" s="11"/>
      <c r="O2" s="174"/>
      <c r="P2" s="174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>
      <c r="A3" s="10"/>
      <c r="B3" s="10"/>
      <c r="C3" s="10"/>
      <c r="D3" s="10"/>
      <c r="E3" s="10"/>
      <c r="F3" s="10"/>
      <c r="G3" s="173"/>
      <c r="H3" s="173"/>
      <c r="I3" s="173"/>
      <c r="J3" s="173"/>
      <c r="K3" s="173"/>
      <c r="L3" s="173"/>
      <c r="M3" s="10"/>
      <c r="N3" s="11"/>
      <c r="O3" s="174"/>
      <c r="P3" s="174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>
      <c r="A4" s="10"/>
      <c r="B4" s="10"/>
      <c r="C4" s="10"/>
      <c r="D4" s="10"/>
      <c r="E4" s="10"/>
      <c r="F4" s="10"/>
      <c r="G4" s="173"/>
      <c r="H4" s="173"/>
      <c r="I4" s="173"/>
      <c r="J4" s="173"/>
      <c r="K4" s="173"/>
      <c r="L4" s="173"/>
      <c r="M4" s="10"/>
      <c r="N4" s="11"/>
      <c r="O4" s="174"/>
      <c r="P4" s="174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>
      <c r="A5" s="169" t="s">
        <v>8</v>
      </c>
      <c r="B5" s="169"/>
      <c r="C5" s="16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>
      <c r="A6" s="169" t="s">
        <v>10</v>
      </c>
      <c r="B6" s="169"/>
      <c r="C6" s="169"/>
      <c r="D6" s="179">
        <f>'21'!D6+1</f>
        <v>46075</v>
      </c>
      <c r="E6" s="179"/>
      <c r="F6" s="28"/>
      <c r="G6" s="171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>
      <c r="A8" s="175" t="s">
        <v>11</v>
      </c>
      <c r="B8" s="175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9"/>
      <c r="T8" s="9"/>
      <c r="U8" s="9"/>
      <c r="V8" s="9"/>
      <c r="W8" s="9"/>
      <c r="X8" s="9"/>
      <c r="Y8" s="9"/>
      <c r="Z8" s="9"/>
    </row>
    <row r="9" spans="1:26" ht="24.95" customHeight="1">
      <c r="A9" s="158" t="s">
        <v>12</v>
      </c>
      <c r="B9" s="159"/>
      <c r="C9" s="162" t="s">
        <v>13</v>
      </c>
      <c r="D9" s="162"/>
      <c r="E9" s="163"/>
      <c r="F9" s="20" t="s">
        <v>14</v>
      </c>
      <c r="G9" s="166" t="s">
        <v>15</v>
      </c>
      <c r="H9" s="167"/>
      <c r="I9" s="21" t="s">
        <v>16</v>
      </c>
      <c r="J9" s="166" t="s">
        <v>17</v>
      </c>
      <c r="K9" s="167"/>
      <c r="L9" s="21" t="s">
        <v>16</v>
      </c>
      <c r="M9" s="166" t="s">
        <v>18</v>
      </c>
      <c r="N9" s="167"/>
      <c r="O9" s="22" t="s">
        <v>16</v>
      </c>
      <c r="P9" s="167" t="s">
        <v>19</v>
      </c>
      <c r="Q9" s="167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>
      <c r="A10" s="160"/>
      <c r="B10" s="161"/>
      <c r="C10" s="164"/>
      <c r="D10" s="164"/>
      <c r="E10" s="165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68"/>
      <c r="Q10" s="168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>
      <c r="A11" s="137">
        <v>101</v>
      </c>
      <c r="B11" s="138"/>
      <c r="C11" s="139" t="s">
        <v>83</v>
      </c>
      <c r="D11" s="139"/>
      <c r="E11" s="140"/>
      <c r="F11" s="41">
        <v>60</v>
      </c>
      <c r="G11" s="42"/>
      <c r="H11" s="43"/>
      <c r="I11" s="44"/>
      <c r="J11" s="42"/>
      <c r="K11" s="43"/>
      <c r="L11" s="44"/>
      <c r="M11" s="42"/>
      <c r="N11" s="43"/>
      <c r="O11" s="44"/>
      <c r="P11" s="45">
        <f>G11+J11+M11</f>
        <v>0</v>
      </c>
      <c r="Q11" s="105">
        <f>P11+'21'!Q11</f>
        <v>1065.7</v>
      </c>
      <c r="R11" s="97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>
      <c r="A12" s="135"/>
      <c r="B12" s="136"/>
      <c r="C12" s="141" t="s">
        <v>84</v>
      </c>
      <c r="D12" s="141"/>
      <c r="E12" s="142"/>
      <c r="F12" s="47">
        <v>30</v>
      </c>
      <c r="G12" s="48"/>
      <c r="H12" s="48"/>
      <c r="I12" s="49"/>
      <c r="J12" s="48"/>
      <c r="K12" s="48"/>
      <c r="L12" s="49"/>
      <c r="M12" s="48"/>
      <c r="N12" s="48"/>
      <c r="O12" s="49"/>
      <c r="P12" s="50">
        <f t="shared" ref="P12:P32" si="0">G12+J12+M12</f>
        <v>0</v>
      </c>
      <c r="Q12" s="50">
        <f>P12+'21'!Q12</f>
        <v>583.50000000000011</v>
      </c>
      <c r="R12" s="99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>
      <c r="A13" s="130"/>
      <c r="B13" s="131"/>
      <c r="C13" s="143" t="s">
        <v>85</v>
      </c>
      <c r="D13" s="143"/>
      <c r="E13" s="144"/>
      <c r="F13" s="52">
        <v>30</v>
      </c>
      <c r="G13" s="53"/>
      <c r="H13" s="53"/>
      <c r="I13" s="54"/>
      <c r="J13" s="53"/>
      <c r="K13" s="53"/>
      <c r="L13" s="54"/>
      <c r="M13" s="53"/>
      <c r="N13" s="53"/>
      <c r="O13" s="54"/>
      <c r="P13" s="55">
        <f t="shared" si="0"/>
        <v>0</v>
      </c>
      <c r="Q13" s="55">
        <f>P13+'21'!Q13</f>
        <v>488.7</v>
      </c>
      <c r="R13" s="99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>
      <c r="A14" s="128">
        <v>102</v>
      </c>
      <c r="B14" s="145"/>
      <c r="C14" s="148" t="s">
        <v>86</v>
      </c>
      <c r="D14" s="149"/>
      <c r="E14" s="150"/>
      <c r="F14" s="56">
        <v>40</v>
      </c>
      <c r="G14" s="57"/>
      <c r="H14" s="58"/>
      <c r="I14" s="59"/>
      <c r="J14" s="60"/>
      <c r="K14" s="58"/>
      <c r="L14" s="59"/>
      <c r="M14" s="60"/>
      <c r="N14" s="58"/>
      <c r="O14" s="59"/>
      <c r="P14" s="61">
        <f t="shared" si="0"/>
        <v>0</v>
      </c>
      <c r="Q14" s="61">
        <f>P14+'21'!Q14</f>
        <v>158.89400000000001</v>
      </c>
      <c r="R14" s="102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>
      <c r="A15" s="146"/>
      <c r="B15" s="147"/>
      <c r="C15" s="151" t="s">
        <v>87</v>
      </c>
      <c r="D15" s="152"/>
      <c r="E15" s="153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50">
        <f t="shared" si="0"/>
        <v>0</v>
      </c>
      <c r="Q15" s="50">
        <f>P15+'21'!Q15</f>
        <v>0</v>
      </c>
      <c r="R15" s="97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>
      <c r="A16" s="146"/>
      <c r="B16" s="147"/>
      <c r="C16" s="154" t="s">
        <v>88</v>
      </c>
      <c r="D16" s="155"/>
      <c r="E16" s="156"/>
      <c r="F16" s="47">
        <f>F14*(2/100)</f>
        <v>0.8</v>
      </c>
      <c r="G16" s="48"/>
      <c r="H16" s="48"/>
      <c r="I16" s="49"/>
      <c r="J16" s="48"/>
      <c r="K16" s="48"/>
      <c r="L16" s="49"/>
      <c r="M16" s="48"/>
      <c r="N16" s="48"/>
      <c r="O16" s="49"/>
      <c r="P16" s="50">
        <f t="shared" si="0"/>
        <v>0</v>
      </c>
      <c r="Q16" s="50">
        <f>P16+'21'!Q16</f>
        <v>12.878699999999998</v>
      </c>
      <c r="R16" s="99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>
      <c r="A17" s="146"/>
      <c r="B17" s="147"/>
      <c r="C17" s="122" t="s">
        <v>89</v>
      </c>
      <c r="D17" s="123"/>
      <c r="E17" s="124"/>
      <c r="F17" s="47">
        <f>F14*12/100</f>
        <v>4.8</v>
      </c>
      <c r="G17" s="48"/>
      <c r="H17" s="48"/>
      <c r="I17" s="49"/>
      <c r="J17" s="48"/>
      <c r="K17" s="48"/>
      <c r="L17" s="49"/>
      <c r="M17" s="48"/>
      <c r="N17" s="48"/>
      <c r="O17" s="49"/>
      <c r="P17" s="50">
        <f t="shared" si="0"/>
        <v>0</v>
      </c>
      <c r="Q17" s="50">
        <f>P17+'21'!Q17</f>
        <v>0.22700000000000001</v>
      </c>
      <c r="R17" s="99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>
      <c r="A18" s="146"/>
      <c r="B18" s="147"/>
      <c r="C18" s="122" t="s">
        <v>90</v>
      </c>
      <c r="D18" s="123"/>
      <c r="E18" s="124"/>
      <c r="F18" s="47" t="s">
        <v>35</v>
      </c>
      <c r="G18" s="48"/>
      <c r="H18" s="48"/>
      <c r="I18" s="49"/>
      <c r="J18" s="48"/>
      <c r="K18" s="48"/>
      <c r="L18" s="49"/>
      <c r="M18" s="48"/>
      <c r="N18" s="48"/>
      <c r="O18" s="49"/>
      <c r="P18" s="50">
        <f t="shared" si="0"/>
        <v>0</v>
      </c>
      <c r="Q18" s="50">
        <f>P18+'21'!Q18</f>
        <v>102.732</v>
      </c>
      <c r="R18" s="99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>
      <c r="A19" s="146"/>
      <c r="B19" s="147"/>
      <c r="C19" s="122" t="s">
        <v>91</v>
      </c>
      <c r="D19" s="123"/>
      <c r="E19" s="124"/>
      <c r="F19" s="47" t="s">
        <v>35</v>
      </c>
      <c r="G19" s="48"/>
      <c r="H19" s="48"/>
      <c r="I19" s="49"/>
      <c r="J19" s="48"/>
      <c r="K19" s="48"/>
      <c r="L19" s="49"/>
      <c r="M19" s="48"/>
      <c r="N19" s="48"/>
      <c r="O19" s="49"/>
      <c r="P19" s="50">
        <f t="shared" si="0"/>
        <v>0</v>
      </c>
      <c r="Q19" s="50">
        <f>P19+'21'!Q19</f>
        <v>34.469000000000001</v>
      </c>
      <c r="R19" s="99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>
      <c r="A20" s="146"/>
      <c r="B20" s="147"/>
      <c r="C20" s="122" t="s">
        <v>92</v>
      </c>
      <c r="D20" s="123"/>
      <c r="E20" s="124"/>
      <c r="F20" s="63" t="s">
        <v>35</v>
      </c>
      <c r="G20" s="48"/>
      <c r="H20" s="48"/>
      <c r="I20" s="49"/>
      <c r="J20" s="48"/>
      <c r="K20" s="48"/>
      <c r="L20" s="49"/>
      <c r="M20" s="48"/>
      <c r="N20" s="48"/>
      <c r="O20" s="49"/>
      <c r="P20" s="50">
        <f t="shared" si="0"/>
        <v>0</v>
      </c>
      <c r="Q20" s="50">
        <f>P20+'21'!Q20</f>
        <v>0.80600000000000005</v>
      </c>
      <c r="R20" s="99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>
      <c r="A21" s="130"/>
      <c r="B21" s="131"/>
      <c r="C21" s="132" t="s">
        <v>93</v>
      </c>
      <c r="D21" s="133"/>
      <c r="E21" s="134"/>
      <c r="F21" s="52">
        <f>F14*(0.5/100)</f>
        <v>0.2</v>
      </c>
      <c r="G21" s="53"/>
      <c r="H21" s="53"/>
      <c r="I21" s="54"/>
      <c r="J21" s="53"/>
      <c r="K21" s="53"/>
      <c r="L21" s="54"/>
      <c r="M21" s="53"/>
      <c r="N21" s="53"/>
      <c r="O21" s="54"/>
      <c r="P21" s="55">
        <f t="shared" si="0"/>
        <v>0</v>
      </c>
      <c r="Q21" s="55">
        <f>P21+'21'!Q21</f>
        <v>7.8379000000000003</v>
      </c>
      <c r="R21" s="99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>
      <c r="A22" s="128" t="s">
        <v>105</v>
      </c>
      <c r="B22" s="129"/>
      <c r="C22" s="119" t="s">
        <v>94</v>
      </c>
      <c r="D22" s="120"/>
      <c r="E22" s="121"/>
      <c r="F22" s="56">
        <v>24</v>
      </c>
      <c r="G22" s="60"/>
      <c r="H22" s="58"/>
      <c r="I22" s="65"/>
      <c r="J22" s="60"/>
      <c r="K22" s="58"/>
      <c r="L22" s="65"/>
      <c r="M22" s="60"/>
      <c r="N22" s="58"/>
      <c r="O22" s="65"/>
      <c r="P22" s="61">
        <f t="shared" si="0"/>
        <v>0</v>
      </c>
      <c r="Q22" s="61">
        <f>P22+'21'!Q22</f>
        <v>261.41299999999995</v>
      </c>
      <c r="R22" s="102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>
      <c r="A23" s="130"/>
      <c r="B23" s="131"/>
      <c r="C23" s="132" t="s">
        <v>95</v>
      </c>
      <c r="D23" s="133"/>
      <c r="E23" s="134"/>
      <c r="F23" s="52">
        <v>24</v>
      </c>
      <c r="G23" s="53"/>
      <c r="H23" s="53"/>
      <c r="I23" s="66"/>
      <c r="J23" s="53"/>
      <c r="K23" s="53"/>
      <c r="L23" s="66"/>
      <c r="M23" s="53"/>
      <c r="N23" s="53"/>
      <c r="O23" s="66"/>
      <c r="P23" s="55">
        <f t="shared" si="0"/>
        <v>0</v>
      </c>
      <c r="Q23" s="55">
        <f>P23+'21'!Q23</f>
        <v>257.92829999999998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>
      <c r="A24" s="128" t="s">
        <v>106</v>
      </c>
      <c r="B24" s="129"/>
      <c r="C24" s="119" t="s">
        <v>96</v>
      </c>
      <c r="D24" s="120"/>
      <c r="E24" s="121"/>
      <c r="F24" s="56">
        <v>24</v>
      </c>
      <c r="G24" s="60">
        <v>5.3390000000000004</v>
      </c>
      <c r="H24" s="58"/>
      <c r="I24" s="59" t="s">
        <v>43</v>
      </c>
      <c r="J24" s="60">
        <v>0</v>
      </c>
      <c r="K24" s="58"/>
      <c r="L24" s="59" t="s">
        <v>43</v>
      </c>
      <c r="M24" s="60"/>
      <c r="N24" s="58"/>
      <c r="O24" s="59" t="s">
        <v>43</v>
      </c>
      <c r="P24" s="61">
        <f t="shared" si="0"/>
        <v>5.3390000000000004</v>
      </c>
      <c r="Q24" s="61">
        <f>P24+'21'!Q24</f>
        <v>325.03199999999998</v>
      </c>
      <c r="R24" s="97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>
      <c r="A25" s="135"/>
      <c r="B25" s="136"/>
      <c r="C25" s="122" t="s">
        <v>46</v>
      </c>
      <c r="D25" s="123"/>
      <c r="E25" s="124"/>
      <c r="F25" s="47" t="s">
        <v>35</v>
      </c>
      <c r="G25" s="48">
        <v>9.4700000000000006E-2</v>
      </c>
      <c r="H25" s="48"/>
      <c r="I25" s="49" t="s">
        <v>77</v>
      </c>
      <c r="J25" s="48">
        <v>0</v>
      </c>
      <c r="K25" s="48"/>
      <c r="L25" s="49" t="s">
        <v>77</v>
      </c>
      <c r="M25" s="48"/>
      <c r="N25" s="48"/>
      <c r="O25" s="49" t="s">
        <v>77</v>
      </c>
      <c r="P25" s="50">
        <f t="shared" si="0"/>
        <v>9.4700000000000006E-2</v>
      </c>
      <c r="Q25" s="50">
        <f>P25+'21'!Q25</f>
        <v>7.5114999999999998</v>
      </c>
      <c r="R25" s="99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>
      <c r="A26" s="135"/>
      <c r="B26" s="136"/>
      <c r="C26" s="122" t="s">
        <v>97</v>
      </c>
      <c r="D26" s="123"/>
      <c r="E26" s="124"/>
      <c r="F26" s="47" t="s">
        <v>35</v>
      </c>
      <c r="G26" s="48">
        <v>5.15</v>
      </c>
      <c r="H26" s="48"/>
      <c r="I26" s="49" t="s">
        <v>80</v>
      </c>
      <c r="J26" s="48">
        <v>0</v>
      </c>
      <c r="K26" s="48"/>
      <c r="L26" s="49" t="s">
        <v>80</v>
      </c>
      <c r="M26" s="48"/>
      <c r="N26" s="48"/>
      <c r="O26" s="49" t="s">
        <v>80</v>
      </c>
      <c r="P26" s="50">
        <f t="shared" si="0"/>
        <v>5.15</v>
      </c>
      <c r="Q26" s="50">
        <f>P26+'21'!Q26</f>
        <v>305.67500000000001</v>
      </c>
      <c r="R26" s="99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>
      <c r="A27" s="135"/>
      <c r="B27" s="136"/>
      <c r="C27" s="122" t="s">
        <v>98</v>
      </c>
      <c r="D27" s="123"/>
      <c r="E27" s="124"/>
      <c r="F27" s="47" t="s">
        <v>35</v>
      </c>
      <c r="G27" s="48">
        <v>0</v>
      </c>
      <c r="H27" s="48"/>
      <c r="I27" s="49" t="s">
        <v>79</v>
      </c>
      <c r="J27" s="48">
        <v>0</v>
      </c>
      <c r="K27" s="48"/>
      <c r="L27" s="49" t="s">
        <v>79</v>
      </c>
      <c r="M27" s="48"/>
      <c r="N27" s="48"/>
      <c r="O27" s="49" t="s">
        <v>79</v>
      </c>
      <c r="P27" s="50">
        <f t="shared" si="0"/>
        <v>0</v>
      </c>
      <c r="Q27" s="50">
        <f>P27+'21'!Q27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>
      <c r="A28" s="130"/>
      <c r="B28" s="131"/>
      <c r="C28" s="132" t="s">
        <v>99</v>
      </c>
      <c r="D28" s="133"/>
      <c r="E28" s="134"/>
      <c r="F28" s="52" t="s">
        <v>35</v>
      </c>
      <c r="G28" s="53">
        <v>0.1482</v>
      </c>
      <c r="H28" s="53"/>
      <c r="I28" s="54" t="s">
        <v>53</v>
      </c>
      <c r="J28" s="53">
        <v>0</v>
      </c>
      <c r="K28" s="53"/>
      <c r="L28" s="54" t="s">
        <v>53</v>
      </c>
      <c r="M28" s="53"/>
      <c r="N28" s="53"/>
      <c r="O28" s="54" t="s">
        <v>53</v>
      </c>
      <c r="P28" s="55">
        <f t="shared" si="0"/>
        <v>0.1482</v>
      </c>
      <c r="Q28" s="55">
        <f>P28+'21'!Q28</f>
        <v>12.7234</v>
      </c>
      <c r="R28" s="97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>
      <c r="A29" s="113">
        <v>104</v>
      </c>
      <c r="B29" s="114"/>
      <c r="C29" s="119" t="s">
        <v>100</v>
      </c>
      <c r="D29" s="120"/>
      <c r="E29" s="121"/>
      <c r="F29" s="56"/>
      <c r="G29" s="60"/>
      <c r="H29" s="58"/>
      <c r="I29" s="59"/>
      <c r="J29" s="60"/>
      <c r="K29" s="58"/>
      <c r="L29" s="59"/>
      <c r="M29" s="60">
        <v>12.532999999999999</v>
      </c>
      <c r="N29" s="58"/>
      <c r="O29" s="49" t="s">
        <v>55</v>
      </c>
      <c r="P29" s="61">
        <f t="shared" si="0"/>
        <v>12.532999999999999</v>
      </c>
      <c r="Q29" s="61">
        <f>P29+'21'!Q29</f>
        <v>186.76400000000004</v>
      </c>
      <c r="R29" s="102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>
      <c r="A30" s="115"/>
      <c r="B30" s="116"/>
      <c r="C30" s="122" t="s">
        <v>102</v>
      </c>
      <c r="D30" s="123"/>
      <c r="E30" s="124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50">
        <f t="shared" si="0"/>
        <v>0</v>
      </c>
      <c r="Q30" s="50">
        <f>P30+'21'!Q30</f>
        <v>0</v>
      </c>
      <c r="R30" s="99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>
      <c r="A31" s="115"/>
      <c r="B31" s="116"/>
      <c r="C31" s="122" t="s">
        <v>101</v>
      </c>
      <c r="D31" s="123"/>
      <c r="E31" s="124"/>
      <c r="F31" s="47"/>
      <c r="G31" s="48"/>
      <c r="H31" s="48"/>
      <c r="I31" s="49"/>
      <c r="J31" s="48"/>
      <c r="K31" s="48"/>
      <c r="L31" s="49"/>
      <c r="M31" s="48">
        <v>2.544</v>
      </c>
      <c r="N31" s="48"/>
      <c r="O31" s="49" t="s">
        <v>58</v>
      </c>
      <c r="P31" s="50">
        <f t="shared" si="0"/>
        <v>2.544</v>
      </c>
      <c r="Q31" s="50">
        <f>P31+'21'!Q31</f>
        <v>37.08</v>
      </c>
      <c r="R31" s="99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>
      <c r="A32" s="115"/>
      <c r="B32" s="116"/>
      <c r="C32" s="122" t="s">
        <v>103</v>
      </c>
      <c r="D32" s="123"/>
      <c r="E32" s="124"/>
      <c r="F32" s="47"/>
      <c r="G32" s="48">
        <v>1.4529300000000001</v>
      </c>
      <c r="H32" s="48"/>
      <c r="I32" s="49" t="s">
        <v>74</v>
      </c>
      <c r="J32" s="48">
        <v>11.443020000000001</v>
      </c>
      <c r="K32" s="48"/>
      <c r="L32" s="49" t="s">
        <v>74</v>
      </c>
      <c r="M32" s="49">
        <v>0</v>
      </c>
      <c r="N32" s="48"/>
      <c r="O32" s="49" t="s">
        <v>74</v>
      </c>
      <c r="P32" s="50">
        <f t="shared" si="0"/>
        <v>12.895950000000001</v>
      </c>
      <c r="Q32" s="50">
        <f>P32+'21'!Q32</f>
        <v>190.01217</v>
      </c>
      <c r="R32" s="99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>
      <c r="A33" s="117"/>
      <c r="B33" s="118"/>
      <c r="C33" s="125" t="s">
        <v>104</v>
      </c>
      <c r="D33" s="126"/>
      <c r="E33" s="127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72">
        <f>G33+J33+M33</f>
        <v>0</v>
      </c>
      <c r="Q33" s="72">
        <f>P33+'21'!Q33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/>
    <row r="35" spans="1:26" ht="14.1" customHeight="1"/>
    <row r="36" spans="1:26" ht="14.1" customHeight="1"/>
    <row r="37" spans="1:26" ht="14.1" customHeight="1"/>
    <row r="38" spans="1:26" ht="14.1" customHeight="1"/>
    <row r="39" spans="1:26" ht="14.1" customHeight="1"/>
    <row r="40" spans="1:26" ht="14.1" customHeight="1"/>
    <row r="41" spans="1:26" ht="14.1" customHeight="1"/>
    <row r="42" spans="1:26" ht="14.1" customHeight="1"/>
    <row r="43" spans="1:26" ht="14.1" customHeight="1"/>
    <row r="44" spans="1:26" ht="14.1" customHeight="1"/>
    <row r="45" spans="1:26" ht="14.1" customHeight="1"/>
    <row r="46" spans="1:26" ht="14.1" customHeight="1"/>
    <row r="47" spans="1:26" ht="14.1" customHeight="1"/>
    <row r="48" spans="1:26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  <row r="58" ht="14.1" customHeight="1"/>
    <row r="59" ht="14.1" customHeight="1"/>
    <row r="60" ht="14.1" customHeight="1"/>
    <row r="61" ht="14.1" customHeight="1"/>
    <row r="62" ht="14.1" customHeight="1"/>
    <row r="63" ht="14.1" customHeight="1"/>
    <row r="64" ht="14.1" customHeight="1"/>
    <row r="65" ht="14.1" customHeight="1"/>
    <row r="66" ht="14.1" customHeight="1"/>
    <row r="67" ht="14.1" customHeight="1"/>
    <row r="68" ht="15" customHeight="1"/>
    <row r="69" ht="12.95" customHeight="1"/>
    <row r="70" ht="14.1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4.1" customHeight="1"/>
    <row r="122" ht="14.1" customHeight="1"/>
    <row r="123" ht="14.1" customHeight="1"/>
    <row r="124" ht="14.1" customHeight="1"/>
    <row r="125" ht="14.1" customHeight="1"/>
    <row r="126" ht="10.5" customHeight="1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1CB50BF4-5ED4-44F3-92D0-ED08FB2CFD55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553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152400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4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152400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5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152400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6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7223D-95A6-4CBF-8476-1BFDDC9D885C}">
  <sheetPr codeName="Sheet26"/>
  <dimension ref="A1:Z126"/>
  <sheetViews>
    <sheetView showGridLines="0" zoomScale="85" zoomScaleNormal="85" zoomScaleSheetLayoutView="113" workbookViewId="0">
      <selection activeCell="A11" sqref="A11:E33"/>
    </sheetView>
  </sheetViews>
  <sheetFormatPr defaultColWidth="10.140625" defaultRowHeight="1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7.8554687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6" width="8.42578125" customWidth="1"/>
    <col min="17" max="17" width="9.5703125" customWidth="1"/>
    <col min="18" max="18" width="8.42578125" customWidth="1"/>
    <col min="27" max="16384" width="10.140625" style="9"/>
  </cols>
  <sheetData>
    <row r="1" spans="1:26" ht="15" customHeight="1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>
      <c r="A2" s="10"/>
      <c r="B2" s="10"/>
      <c r="C2" s="10"/>
      <c r="D2" s="10"/>
      <c r="E2" s="10"/>
      <c r="F2" s="10"/>
      <c r="G2" s="173"/>
      <c r="H2" s="173"/>
      <c r="I2" s="173"/>
      <c r="J2" s="173"/>
      <c r="K2" s="173"/>
      <c r="L2" s="173"/>
      <c r="M2" s="10"/>
      <c r="N2" s="11"/>
      <c r="O2" s="174"/>
      <c r="P2" s="174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>
      <c r="A3" s="10"/>
      <c r="B3" s="10"/>
      <c r="C3" s="10"/>
      <c r="D3" s="10"/>
      <c r="E3" s="10"/>
      <c r="F3" s="10"/>
      <c r="G3" s="173"/>
      <c r="H3" s="173"/>
      <c r="I3" s="173"/>
      <c r="J3" s="173"/>
      <c r="K3" s="173"/>
      <c r="L3" s="173"/>
      <c r="M3" s="10"/>
      <c r="N3" s="11"/>
      <c r="O3" s="174"/>
      <c r="P3" s="174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>
      <c r="A4" s="10"/>
      <c r="B4" s="10"/>
      <c r="C4" s="10"/>
      <c r="D4" s="10"/>
      <c r="E4" s="10"/>
      <c r="F4" s="10"/>
      <c r="G4" s="173"/>
      <c r="H4" s="173"/>
      <c r="I4" s="173"/>
      <c r="J4" s="173"/>
      <c r="K4" s="173"/>
      <c r="L4" s="173"/>
      <c r="M4" s="10"/>
      <c r="N4" s="11"/>
      <c r="O4" s="174"/>
      <c r="P4" s="174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>
      <c r="A5" s="169" t="s">
        <v>8</v>
      </c>
      <c r="B5" s="169"/>
      <c r="C5" s="16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>
      <c r="A6" s="169" t="s">
        <v>10</v>
      </c>
      <c r="B6" s="169"/>
      <c r="C6" s="169"/>
      <c r="D6" s="179">
        <f>'22'!D6+1</f>
        <v>46076</v>
      </c>
      <c r="E6" s="179"/>
      <c r="F6" s="28"/>
      <c r="G6" s="171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>
      <c r="A8" s="175" t="s">
        <v>11</v>
      </c>
      <c r="B8" s="175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9"/>
      <c r="T8" s="9"/>
      <c r="U8" s="9"/>
      <c r="V8" s="9"/>
      <c r="W8" s="9"/>
      <c r="X8" s="9"/>
      <c r="Y8" s="9"/>
      <c r="Z8" s="9"/>
    </row>
    <row r="9" spans="1:26" ht="24.95" customHeight="1">
      <c r="A9" s="158" t="s">
        <v>12</v>
      </c>
      <c r="B9" s="159"/>
      <c r="C9" s="162" t="s">
        <v>13</v>
      </c>
      <c r="D9" s="162"/>
      <c r="E9" s="163"/>
      <c r="F9" s="20" t="s">
        <v>14</v>
      </c>
      <c r="G9" s="166" t="s">
        <v>15</v>
      </c>
      <c r="H9" s="167"/>
      <c r="I9" s="21" t="s">
        <v>16</v>
      </c>
      <c r="J9" s="166" t="s">
        <v>17</v>
      </c>
      <c r="K9" s="167"/>
      <c r="L9" s="21" t="s">
        <v>16</v>
      </c>
      <c r="M9" s="166" t="s">
        <v>18</v>
      </c>
      <c r="N9" s="167"/>
      <c r="O9" s="22" t="s">
        <v>16</v>
      </c>
      <c r="P9" s="167" t="s">
        <v>19</v>
      </c>
      <c r="Q9" s="167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>
      <c r="A10" s="160"/>
      <c r="B10" s="161"/>
      <c r="C10" s="164"/>
      <c r="D10" s="164"/>
      <c r="E10" s="165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68"/>
      <c r="Q10" s="168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>
      <c r="A11" s="137">
        <v>101</v>
      </c>
      <c r="B11" s="138"/>
      <c r="C11" s="139" t="s">
        <v>83</v>
      </c>
      <c r="D11" s="139"/>
      <c r="E11" s="140"/>
      <c r="F11" s="41">
        <v>60</v>
      </c>
      <c r="G11" s="42"/>
      <c r="H11" s="43"/>
      <c r="I11" s="44"/>
      <c r="J11" s="42"/>
      <c r="K11" s="43"/>
      <c r="L11" s="44"/>
      <c r="M11" s="42"/>
      <c r="N11" s="43"/>
      <c r="O11" s="44"/>
      <c r="P11" s="45">
        <f>G11+J11+M11</f>
        <v>0</v>
      </c>
      <c r="Q11" s="105">
        <f>P11+'22'!Q11</f>
        <v>1065.7</v>
      </c>
      <c r="R11" s="97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>
      <c r="A12" s="135"/>
      <c r="B12" s="136"/>
      <c r="C12" s="141" t="s">
        <v>84</v>
      </c>
      <c r="D12" s="141"/>
      <c r="E12" s="142"/>
      <c r="F12" s="47">
        <v>30</v>
      </c>
      <c r="G12" s="48"/>
      <c r="H12" s="48"/>
      <c r="I12" s="49"/>
      <c r="J12" s="48"/>
      <c r="K12" s="48"/>
      <c r="L12" s="49"/>
      <c r="M12" s="48"/>
      <c r="N12" s="48"/>
      <c r="O12" s="49"/>
      <c r="P12" s="50">
        <f t="shared" ref="P12:P32" si="0">G12+J12+M12</f>
        <v>0</v>
      </c>
      <c r="Q12" s="50">
        <f>P12+'22'!Q12</f>
        <v>583.50000000000011</v>
      </c>
      <c r="R12" s="99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>
      <c r="A13" s="130"/>
      <c r="B13" s="131"/>
      <c r="C13" s="143" t="s">
        <v>85</v>
      </c>
      <c r="D13" s="143"/>
      <c r="E13" s="144"/>
      <c r="F13" s="52">
        <v>30</v>
      </c>
      <c r="G13" s="53"/>
      <c r="H13" s="53"/>
      <c r="I13" s="54"/>
      <c r="J13" s="53"/>
      <c r="K13" s="53"/>
      <c r="L13" s="54"/>
      <c r="M13" s="53"/>
      <c r="N13" s="53"/>
      <c r="O13" s="54"/>
      <c r="P13" s="55">
        <f t="shared" si="0"/>
        <v>0</v>
      </c>
      <c r="Q13" s="55">
        <f>P13+'22'!Q13</f>
        <v>488.7</v>
      </c>
      <c r="R13" s="99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>
      <c r="A14" s="128">
        <v>102</v>
      </c>
      <c r="B14" s="145"/>
      <c r="C14" s="148" t="s">
        <v>86</v>
      </c>
      <c r="D14" s="149"/>
      <c r="E14" s="150"/>
      <c r="F14" s="56">
        <v>40</v>
      </c>
      <c r="G14" s="57"/>
      <c r="H14" s="58"/>
      <c r="I14" s="59"/>
      <c r="J14" s="60"/>
      <c r="K14" s="58"/>
      <c r="L14" s="59"/>
      <c r="M14" s="60"/>
      <c r="N14" s="58"/>
      <c r="O14" s="59"/>
      <c r="P14" s="61">
        <f t="shared" si="0"/>
        <v>0</v>
      </c>
      <c r="Q14" s="61">
        <f>P14+'22'!Q14</f>
        <v>158.89400000000001</v>
      </c>
      <c r="R14" s="102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>
      <c r="A15" s="146"/>
      <c r="B15" s="147"/>
      <c r="C15" s="151" t="s">
        <v>87</v>
      </c>
      <c r="D15" s="152"/>
      <c r="E15" s="153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50">
        <f t="shared" si="0"/>
        <v>0</v>
      </c>
      <c r="Q15" s="50">
        <f>P15+'22'!Q15</f>
        <v>0</v>
      </c>
      <c r="R15" s="97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>
      <c r="A16" s="146"/>
      <c r="B16" s="147"/>
      <c r="C16" s="154" t="s">
        <v>88</v>
      </c>
      <c r="D16" s="155"/>
      <c r="E16" s="156"/>
      <c r="F16" s="47">
        <f>F14*(2/100)</f>
        <v>0.8</v>
      </c>
      <c r="G16" s="48"/>
      <c r="H16" s="48"/>
      <c r="I16" s="49"/>
      <c r="J16" s="48"/>
      <c r="K16" s="48"/>
      <c r="L16" s="49"/>
      <c r="M16" s="48"/>
      <c r="N16" s="48"/>
      <c r="O16" s="49"/>
      <c r="P16" s="50">
        <f t="shared" si="0"/>
        <v>0</v>
      </c>
      <c r="Q16" s="50">
        <f>P16+'22'!Q16</f>
        <v>12.878699999999998</v>
      </c>
      <c r="R16" s="99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>
      <c r="A17" s="146"/>
      <c r="B17" s="147"/>
      <c r="C17" s="122" t="s">
        <v>89</v>
      </c>
      <c r="D17" s="123"/>
      <c r="E17" s="124"/>
      <c r="F17" s="47">
        <f>F14*12/100</f>
        <v>4.8</v>
      </c>
      <c r="G17" s="48"/>
      <c r="H17" s="48"/>
      <c r="I17" s="49"/>
      <c r="J17" s="48"/>
      <c r="K17" s="48"/>
      <c r="L17" s="49"/>
      <c r="M17" s="48"/>
      <c r="N17" s="48"/>
      <c r="O17" s="49"/>
      <c r="P17" s="50">
        <f t="shared" si="0"/>
        <v>0</v>
      </c>
      <c r="Q17" s="50">
        <f>P17+'22'!Q17</f>
        <v>0.22700000000000001</v>
      </c>
      <c r="R17" s="99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>
      <c r="A18" s="146"/>
      <c r="B18" s="147"/>
      <c r="C18" s="122" t="s">
        <v>90</v>
      </c>
      <c r="D18" s="123"/>
      <c r="E18" s="124"/>
      <c r="F18" s="47" t="s">
        <v>35</v>
      </c>
      <c r="G18" s="48"/>
      <c r="H18" s="48"/>
      <c r="I18" s="49"/>
      <c r="J18" s="48"/>
      <c r="K18" s="48"/>
      <c r="L18" s="49"/>
      <c r="M18" s="48"/>
      <c r="N18" s="48"/>
      <c r="O18" s="49"/>
      <c r="P18" s="50">
        <f t="shared" si="0"/>
        <v>0</v>
      </c>
      <c r="Q18" s="50">
        <f>P18+'22'!Q18</f>
        <v>102.732</v>
      </c>
      <c r="R18" s="99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>
      <c r="A19" s="146"/>
      <c r="B19" s="147"/>
      <c r="C19" s="122" t="s">
        <v>91</v>
      </c>
      <c r="D19" s="123"/>
      <c r="E19" s="124"/>
      <c r="F19" s="47" t="s">
        <v>35</v>
      </c>
      <c r="G19" s="48"/>
      <c r="H19" s="48"/>
      <c r="I19" s="49"/>
      <c r="J19" s="48"/>
      <c r="K19" s="48"/>
      <c r="L19" s="49"/>
      <c r="M19" s="48"/>
      <c r="N19" s="48"/>
      <c r="O19" s="49"/>
      <c r="P19" s="50">
        <f t="shared" si="0"/>
        <v>0</v>
      </c>
      <c r="Q19" s="50">
        <f>P19+'22'!Q19</f>
        <v>34.469000000000001</v>
      </c>
      <c r="R19" s="99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>
      <c r="A20" s="146"/>
      <c r="B20" s="147"/>
      <c r="C20" s="122" t="s">
        <v>92</v>
      </c>
      <c r="D20" s="123"/>
      <c r="E20" s="124"/>
      <c r="F20" s="63" t="s">
        <v>35</v>
      </c>
      <c r="G20" s="48"/>
      <c r="H20" s="48"/>
      <c r="I20" s="49"/>
      <c r="J20" s="48"/>
      <c r="K20" s="48"/>
      <c r="L20" s="49"/>
      <c r="M20" s="48"/>
      <c r="N20" s="48"/>
      <c r="O20" s="49"/>
      <c r="P20" s="50">
        <f t="shared" si="0"/>
        <v>0</v>
      </c>
      <c r="Q20" s="50">
        <f>P20+'22'!Q20</f>
        <v>0.80600000000000005</v>
      </c>
      <c r="R20" s="99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>
      <c r="A21" s="130"/>
      <c r="B21" s="131"/>
      <c r="C21" s="132" t="s">
        <v>93</v>
      </c>
      <c r="D21" s="133"/>
      <c r="E21" s="134"/>
      <c r="F21" s="52">
        <f>F14*(0.5/100)</f>
        <v>0.2</v>
      </c>
      <c r="G21" s="53"/>
      <c r="H21" s="53"/>
      <c r="I21" s="54"/>
      <c r="J21" s="53"/>
      <c r="K21" s="53"/>
      <c r="L21" s="54"/>
      <c r="M21" s="53"/>
      <c r="N21" s="53"/>
      <c r="O21" s="54"/>
      <c r="P21" s="55">
        <f t="shared" si="0"/>
        <v>0</v>
      </c>
      <c r="Q21" s="55">
        <f>P21+'22'!Q21</f>
        <v>7.8379000000000003</v>
      </c>
      <c r="R21" s="99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>
      <c r="A22" s="128" t="s">
        <v>105</v>
      </c>
      <c r="B22" s="129"/>
      <c r="C22" s="119" t="s">
        <v>94</v>
      </c>
      <c r="D22" s="120"/>
      <c r="E22" s="121"/>
      <c r="F22" s="56">
        <v>24</v>
      </c>
      <c r="G22" s="60"/>
      <c r="H22" s="58"/>
      <c r="I22" s="65"/>
      <c r="J22" s="60"/>
      <c r="K22" s="58"/>
      <c r="L22" s="65"/>
      <c r="M22" s="60"/>
      <c r="N22" s="58"/>
      <c r="O22" s="65"/>
      <c r="P22" s="61">
        <f t="shared" si="0"/>
        <v>0</v>
      </c>
      <c r="Q22" s="61">
        <f>P22+'22'!Q22</f>
        <v>261.41299999999995</v>
      </c>
      <c r="R22" s="102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>
      <c r="A23" s="130"/>
      <c r="B23" s="131"/>
      <c r="C23" s="132" t="s">
        <v>95</v>
      </c>
      <c r="D23" s="133"/>
      <c r="E23" s="134"/>
      <c r="F23" s="52">
        <v>24</v>
      </c>
      <c r="G23" s="53"/>
      <c r="H23" s="53"/>
      <c r="I23" s="66"/>
      <c r="J23" s="53"/>
      <c r="K23" s="53"/>
      <c r="L23" s="66"/>
      <c r="M23" s="53"/>
      <c r="N23" s="53"/>
      <c r="O23" s="66"/>
      <c r="P23" s="55">
        <f t="shared" si="0"/>
        <v>0</v>
      </c>
      <c r="Q23" s="55">
        <f>P23+'22'!Q23</f>
        <v>257.92829999999998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>
      <c r="A24" s="128" t="s">
        <v>106</v>
      </c>
      <c r="B24" s="129"/>
      <c r="C24" s="119" t="s">
        <v>96</v>
      </c>
      <c r="D24" s="120"/>
      <c r="E24" s="121"/>
      <c r="F24" s="56">
        <v>24</v>
      </c>
      <c r="G24" s="60"/>
      <c r="H24" s="58"/>
      <c r="I24" s="59"/>
      <c r="J24" s="60"/>
      <c r="K24" s="58"/>
      <c r="L24" s="59"/>
      <c r="M24" s="60"/>
      <c r="N24" s="58"/>
      <c r="O24" s="59"/>
      <c r="P24" s="61">
        <f t="shared" si="0"/>
        <v>0</v>
      </c>
      <c r="Q24" s="61">
        <f>P24+'22'!Q24</f>
        <v>325.03199999999998</v>
      </c>
      <c r="R24" s="97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>
      <c r="A25" s="135"/>
      <c r="B25" s="136"/>
      <c r="C25" s="122" t="s">
        <v>46</v>
      </c>
      <c r="D25" s="123"/>
      <c r="E25" s="124"/>
      <c r="F25" s="47" t="s">
        <v>35</v>
      </c>
      <c r="G25" s="48"/>
      <c r="H25" s="48"/>
      <c r="I25" s="49"/>
      <c r="J25" s="48"/>
      <c r="K25" s="48"/>
      <c r="L25" s="49"/>
      <c r="M25" s="48"/>
      <c r="N25" s="48"/>
      <c r="O25" s="49"/>
      <c r="P25" s="50">
        <f t="shared" si="0"/>
        <v>0</v>
      </c>
      <c r="Q25" s="50">
        <f>P25+'22'!Q25</f>
        <v>7.5114999999999998</v>
      </c>
      <c r="R25" s="99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>
      <c r="A26" s="135"/>
      <c r="B26" s="136"/>
      <c r="C26" s="122" t="s">
        <v>97</v>
      </c>
      <c r="D26" s="123"/>
      <c r="E26" s="124"/>
      <c r="F26" s="47" t="s">
        <v>35</v>
      </c>
      <c r="G26" s="48"/>
      <c r="H26" s="48"/>
      <c r="I26" s="49"/>
      <c r="J26" s="48"/>
      <c r="K26" s="48"/>
      <c r="L26" s="49"/>
      <c r="M26" s="48"/>
      <c r="N26" s="48"/>
      <c r="O26" s="49"/>
      <c r="P26" s="50">
        <f t="shared" si="0"/>
        <v>0</v>
      </c>
      <c r="Q26" s="50">
        <f>P26+'22'!Q26</f>
        <v>305.67500000000001</v>
      </c>
      <c r="R26" s="99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>
      <c r="A27" s="135"/>
      <c r="B27" s="136"/>
      <c r="C27" s="122" t="s">
        <v>98</v>
      </c>
      <c r="D27" s="123"/>
      <c r="E27" s="124"/>
      <c r="F27" s="47" t="s">
        <v>35</v>
      </c>
      <c r="G27" s="48"/>
      <c r="H27" s="48"/>
      <c r="I27" s="49"/>
      <c r="J27" s="48"/>
      <c r="K27" s="48"/>
      <c r="L27" s="49"/>
      <c r="M27" s="48"/>
      <c r="N27" s="48"/>
      <c r="O27" s="49"/>
      <c r="P27" s="50">
        <f t="shared" si="0"/>
        <v>0</v>
      </c>
      <c r="Q27" s="50">
        <f>P27+'22'!Q27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>
      <c r="A28" s="130"/>
      <c r="B28" s="131"/>
      <c r="C28" s="132" t="s">
        <v>99</v>
      </c>
      <c r="D28" s="133"/>
      <c r="E28" s="134"/>
      <c r="F28" s="52" t="s">
        <v>35</v>
      </c>
      <c r="G28" s="53"/>
      <c r="H28" s="53"/>
      <c r="I28" s="54"/>
      <c r="J28" s="53"/>
      <c r="K28" s="53"/>
      <c r="L28" s="54"/>
      <c r="M28" s="53"/>
      <c r="N28" s="53"/>
      <c r="O28" s="54"/>
      <c r="P28" s="55">
        <f t="shared" si="0"/>
        <v>0</v>
      </c>
      <c r="Q28" s="55">
        <f>P28+'22'!Q28</f>
        <v>12.7234</v>
      </c>
      <c r="R28" s="97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>
      <c r="A29" s="113">
        <v>104</v>
      </c>
      <c r="B29" s="114"/>
      <c r="C29" s="119" t="s">
        <v>100</v>
      </c>
      <c r="D29" s="120"/>
      <c r="E29" s="121"/>
      <c r="F29" s="56"/>
      <c r="G29" s="60"/>
      <c r="H29" s="58"/>
      <c r="I29" s="59"/>
      <c r="J29" s="60"/>
      <c r="K29" s="58"/>
      <c r="L29" s="59"/>
      <c r="M29" s="60"/>
      <c r="N29" s="58"/>
      <c r="O29" s="59"/>
      <c r="P29" s="61">
        <f t="shared" si="0"/>
        <v>0</v>
      </c>
      <c r="Q29" s="61">
        <f>P29+'22'!Q29</f>
        <v>186.76400000000004</v>
      </c>
      <c r="R29" s="102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>
      <c r="A30" s="115"/>
      <c r="B30" s="116"/>
      <c r="C30" s="122" t="s">
        <v>102</v>
      </c>
      <c r="D30" s="123"/>
      <c r="E30" s="124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50">
        <f t="shared" si="0"/>
        <v>0</v>
      </c>
      <c r="Q30" s="50">
        <f>P30+'22'!Q30</f>
        <v>0</v>
      </c>
      <c r="R30" s="99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>
      <c r="A31" s="115"/>
      <c r="B31" s="116"/>
      <c r="C31" s="122" t="s">
        <v>101</v>
      </c>
      <c r="D31" s="123"/>
      <c r="E31" s="124"/>
      <c r="F31" s="47"/>
      <c r="G31" s="48"/>
      <c r="H31" s="48"/>
      <c r="I31" s="49"/>
      <c r="J31" s="48"/>
      <c r="K31" s="48"/>
      <c r="L31" s="49"/>
      <c r="M31" s="48"/>
      <c r="N31" s="48"/>
      <c r="O31" s="49"/>
      <c r="P31" s="50">
        <f t="shared" si="0"/>
        <v>0</v>
      </c>
      <c r="Q31" s="50">
        <f>P31+'22'!Q31</f>
        <v>37.08</v>
      </c>
      <c r="R31" s="99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>
      <c r="A32" s="115"/>
      <c r="B32" s="116"/>
      <c r="C32" s="122" t="s">
        <v>103</v>
      </c>
      <c r="D32" s="123"/>
      <c r="E32" s="124"/>
      <c r="F32" s="47"/>
      <c r="G32" s="48"/>
      <c r="H32" s="48"/>
      <c r="I32" s="49"/>
      <c r="J32" s="48"/>
      <c r="K32" s="48"/>
      <c r="L32" s="49"/>
      <c r="M32" s="107">
        <v>9.0739999999999998</v>
      </c>
      <c r="N32" s="48"/>
      <c r="O32" s="49" t="s">
        <v>74</v>
      </c>
      <c r="P32" s="50">
        <f t="shared" si="0"/>
        <v>9.0739999999999998</v>
      </c>
      <c r="Q32" s="50">
        <f>P32+'22'!Q32</f>
        <v>199.08617000000001</v>
      </c>
      <c r="R32" s="99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>
      <c r="A33" s="117"/>
      <c r="B33" s="118"/>
      <c r="C33" s="125" t="s">
        <v>104</v>
      </c>
      <c r="D33" s="126"/>
      <c r="E33" s="127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72">
        <f>G33+J33+M33</f>
        <v>0</v>
      </c>
      <c r="Q33" s="72">
        <f>P33+'22'!Q33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/>
    <row r="35" spans="1:26" ht="14.1" customHeight="1"/>
    <row r="36" spans="1:26" ht="14.1" customHeight="1"/>
    <row r="37" spans="1:26" ht="14.1" customHeight="1"/>
    <row r="38" spans="1:26" ht="14.1" customHeight="1"/>
    <row r="39" spans="1:26" ht="14.1" customHeight="1"/>
    <row r="40" spans="1:26" ht="14.1" customHeight="1"/>
    <row r="41" spans="1:26" ht="14.1" customHeight="1"/>
    <row r="42" spans="1:26" ht="14.1" customHeight="1"/>
    <row r="43" spans="1:26" ht="14.1" customHeight="1"/>
    <row r="44" spans="1:26" ht="14.1" customHeight="1"/>
    <row r="45" spans="1:26" ht="14.1" customHeight="1"/>
    <row r="46" spans="1:26" ht="14.1" customHeight="1"/>
    <row r="47" spans="1:26" ht="14.1" customHeight="1"/>
    <row r="48" spans="1:26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  <row r="58" ht="14.1" customHeight="1"/>
    <row r="59" ht="14.1" customHeight="1"/>
    <row r="60" ht="14.1" customHeight="1"/>
    <row r="61" ht="14.1" customHeight="1"/>
    <row r="62" ht="14.1" customHeight="1"/>
    <row r="63" ht="14.1" customHeight="1"/>
    <row r="64" ht="14.1" customHeight="1"/>
    <row r="65" ht="14.1" customHeight="1"/>
    <row r="66" ht="14.1" customHeight="1"/>
    <row r="67" ht="14.1" customHeight="1"/>
    <row r="68" ht="15" customHeight="1"/>
    <row r="69" ht="12.95" customHeight="1"/>
    <row r="70" ht="14.1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4.1" customHeight="1"/>
    <row r="122" ht="14.1" customHeight="1"/>
    <row r="123" ht="14.1" customHeight="1"/>
    <row r="124" ht="14.1" customHeight="1"/>
    <row r="125" ht="14.1" customHeight="1"/>
    <row r="126" ht="10.5" customHeight="1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810D39A1-463A-4733-8755-E7B4F22FEE60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577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180975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8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180975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9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180975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0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1D76-FA51-44F6-899A-3CA6C9EC85FF}">
  <sheetPr codeName="Sheet27"/>
  <dimension ref="A1:Z126"/>
  <sheetViews>
    <sheetView showGridLines="0" zoomScale="87" zoomScaleNormal="87" zoomScaleSheetLayoutView="113" workbookViewId="0">
      <selection activeCell="A11" sqref="A11:E33"/>
    </sheetView>
  </sheetViews>
  <sheetFormatPr defaultColWidth="10.140625" defaultRowHeight="1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7.8554687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5" width="8.42578125" customWidth="1"/>
    <col min="16" max="16" width="10.140625" customWidth="1"/>
    <col min="17" max="17" width="11.7109375" customWidth="1"/>
    <col min="18" max="18" width="8.42578125" customWidth="1"/>
    <col min="27" max="16384" width="10.140625" style="9"/>
  </cols>
  <sheetData>
    <row r="1" spans="1:26" ht="15" customHeight="1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>
      <c r="A2" s="10"/>
      <c r="B2" s="10"/>
      <c r="C2" s="10"/>
      <c r="D2" s="10"/>
      <c r="E2" s="10"/>
      <c r="F2" s="10"/>
      <c r="G2" s="173"/>
      <c r="H2" s="173"/>
      <c r="I2" s="173"/>
      <c r="J2" s="173"/>
      <c r="K2" s="173"/>
      <c r="L2" s="173"/>
      <c r="M2" s="10"/>
      <c r="N2" s="11"/>
      <c r="O2" s="174"/>
      <c r="P2" s="174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>
      <c r="A3" s="10"/>
      <c r="B3" s="10"/>
      <c r="C3" s="10"/>
      <c r="D3" s="10"/>
      <c r="E3" s="10"/>
      <c r="F3" s="10"/>
      <c r="G3" s="173"/>
      <c r="H3" s="173"/>
      <c r="I3" s="173"/>
      <c r="J3" s="173"/>
      <c r="K3" s="173"/>
      <c r="L3" s="173"/>
      <c r="M3" s="10"/>
      <c r="N3" s="11"/>
      <c r="O3" s="174"/>
      <c r="P3" s="174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>
      <c r="A4" s="10"/>
      <c r="B4" s="10"/>
      <c r="C4" s="10"/>
      <c r="D4" s="10"/>
      <c r="E4" s="10"/>
      <c r="F4" s="10"/>
      <c r="G4" s="173"/>
      <c r="H4" s="173"/>
      <c r="I4" s="173"/>
      <c r="J4" s="173"/>
      <c r="K4" s="173"/>
      <c r="L4" s="173"/>
      <c r="M4" s="10"/>
      <c r="N4" s="11"/>
      <c r="O4" s="174"/>
      <c r="P4" s="174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>
      <c r="A5" s="169" t="s">
        <v>8</v>
      </c>
      <c r="B5" s="169"/>
      <c r="C5" s="16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>
      <c r="A6" s="169" t="s">
        <v>10</v>
      </c>
      <c r="B6" s="169"/>
      <c r="C6" s="169"/>
      <c r="D6" s="179">
        <f>'23'!D6+1</f>
        <v>46077</v>
      </c>
      <c r="E6" s="179"/>
      <c r="F6" s="28"/>
      <c r="G6" s="171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>
      <c r="A8" s="175" t="s">
        <v>11</v>
      </c>
      <c r="B8" s="175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9"/>
      <c r="T8" s="9"/>
      <c r="U8" s="9"/>
      <c r="V8" s="9"/>
      <c r="W8" s="9"/>
      <c r="X8" s="9"/>
      <c r="Y8" s="9"/>
      <c r="Z8" s="9"/>
    </row>
    <row r="9" spans="1:26" ht="24.95" customHeight="1">
      <c r="A9" s="158" t="s">
        <v>12</v>
      </c>
      <c r="B9" s="159"/>
      <c r="C9" s="162" t="s">
        <v>13</v>
      </c>
      <c r="D9" s="162"/>
      <c r="E9" s="163"/>
      <c r="F9" s="20" t="s">
        <v>14</v>
      </c>
      <c r="G9" s="166" t="s">
        <v>15</v>
      </c>
      <c r="H9" s="167"/>
      <c r="I9" s="21" t="s">
        <v>16</v>
      </c>
      <c r="J9" s="166" t="s">
        <v>17</v>
      </c>
      <c r="K9" s="167"/>
      <c r="L9" s="21" t="s">
        <v>16</v>
      </c>
      <c r="M9" s="166" t="s">
        <v>18</v>
      </c>
      <c r="N9" s="167"/>
      <c r="O9" s="22" t="s">
        <v>16</v>
      </c>
      <c r="P9" s="167" t="s">
        <v>19</v>
      </c>
      <c r="Q9" s="167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>
      <c r="A10" s="160"/>
      <c r="B10" s="161"/>
      <c r="C10" s="164"/>
      <c r="D10" s="164"/>
      <c r="E10" s="165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68"/>
      <c r="Q10" s="168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>
      <c r="A11" s="137">
        <v>101</v>
      </c>
      <c r="B11" s="138"/>
      <c r="C11" s="139" t="s">
        <v>83</v>
      </c>
      <c r="D11" s="139"/>
      <c r="E11" s="140"/>
      <c r="F11" s="41">
        <v>60</v>
      </c>
      <c r="G11" s="42"/>
      <c r="H11" s="43"/>
      <c r="I11" s="44"/>
      <c r="J11" s="42"/>
      <c r="K11" s="43"/>
      <c r="L11" s="44"/>
      <c r="M11" s="42"/>
      <c r="N11" s="43"/>
      <c r="O11" s="44"/>
      <c r="P11" s="45">
        <f>G11+J11+M11</f>
        <v>0</v>
      </c>
      <c r="Q11" s="105">
        <f>P11+'23'!Q11</f>
        <v>1065.7</v>
      </c>
      <c r="R11" s="97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>
      <c r="A12" s="135"/>
      <c r="B12" s="136"/>
      <c r="C12" s="141" t="s">
        <v>84</v>
      </c>
      <c r="D12" s="141"/>
      <c r="E12" s="142"/>
      <c r="F12" s="47">
        <v>30</v>
      </c>
      <c r="G12" s="48"/>
      <c r="H12" s="48"/>
      <c r="I12" s="49"/>
      <c r="J12" s="48"/>
      <c r="K12" s="48"/>
      <c r="L12" s="49"/>
      <c r="M12" s="48"/>
      <c r="N12" s="48"/>
      <c r="O12" s="49"/>
      <c r="P12" s="50">
        <f t="shared" ref="P12:P32" si="0">G12+J12+M12</f>
        <v>0</v>
      </c>
      <c r="Q12" s="50">
        <f>P12+'23'!Q12</f>
        <v>583.50000000000011</v>
      </c>
      <c r="R12" s="99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>
      <c r="A13" s="130"/>
      <c r="B13" s="131"/>
      <c r="C13" s="143" t="s">
        <v>85</v>
      </c>
      <c r="D13" s="143"/>
      <c r="E13" s="144"/>
      <c r="F13" s="52">
        <v>30</v>
      </c>
      <c r="G13" s="53"/>
      <c r="H13" s="53"/>
      <c r="I13" s="54"/>
      <c r="J13" s="53"/>
      <c r="K13" s="53"/>
      <c r="L13" s="54"/>
      <c r="M13" s="53"/>
      <c r="N13" s="53"/>
      <c r="O13" s="54"/>
      <c r="P13" s="55">
        <f t="shared" si="0"/>
        <v>0</v>
      </c>
      <c r="Q13" s="55">
        <f>P13+'23'!Q13</f>
        <v>488.7</v>
      </c>
      <c r="R13" s="99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>
      <c r="A14" s="128">
        <v>102</v>
      </c>
      <c r="B14" s="145"/>
      <c r="C14" s="148" t="s">
        <v>86</v>
      </c>
      <c r="D14" s="149"/>
      <c r="E14" s="150"/>
      <c r="F14" s="56">
        <v>40</v>
      </c>
      <c r="G14" s="57"/>
      <c r="H14" s="58"/>
      <c r="I14" s="59"/>
      <c r="J14" s="60"/>
      <c r="K14" s="58"/>
      <c r="L14" s="59"/>
      <c r="M14" s="60"/>
      <c r="N14" s="58"/>
      <c r="O14" s="59"/>
      <c r="P14" s="61">
        <f t="shared" si="0"/>
        <v>0</v>
      </c>
      <c r="Q14" s="61">
        <f>P14+'23'!Q14</f>
        <v>158.89400000000001</v>
      </c>
      <c r="R14" s="102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>
      <c r="A15" s="146"/>
      <c r="B15" s="147"/>
      <c r="C15" s="151" t="s">
        <v>87</v>
      </c>
      <c r="D15" s="152"/>
      <c r="E15" s="153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50">
        <f t="shared" si="0"/>
        <v>0</v>
      </c>
      <c r="Q15" s="50">
        <f>P15+'23'!Q15</f>
        <v>0</v>
      </c>
      <c r="R15" s="97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>
      <c r="A16" s="146"/>
      <c r="B16" s="147"/>
      <c r="C16" s="154" t="s">
        <v>88</v>
      </c>
      <c r="D16" s="155"/>
      <c r="E16" s="156"/>
      <c r="F16" s="47">
        <f>F14*(2/100)</f>
        <v>0.8</v>
      </c>
      <c r="G16" s="48"/>
      <c r="H16" s="48"/>
      <c r="I16" s="49"/>
      <c r="J16" s="48"/>
      <c r="K16" s="48"/>
      <c r="L16" s="49"/>
      <c r="M16" s="48"/>
      <c r="N16" s="48"/>
      <c r="O16" s="49"/>
      <c r="P16" s="50">
        <f t="shared" si="0"/>
        <v>0</v>
      </c>
      <c r="Q16" s="50">
        <f>P16+'23'!Q16</f>
        <v>12.878699999999998</v>
      </c>
      <c r="R16" s="99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>
      <c r="A17" s="146"/>
      <c r="B17" s="147"/>
      <c r="C17" s="122" t="s">
        <v>89</v>
      </c>
      <c r="D17" s="123"/>
      <c r="E17" s="124"/>
      <c r="F17" s="47">
        <f>F14*12/100</f>
        <v>4.8</v>
      </c>
      <c r="G17" s="48"/>
      <c r="H17" s="48"/>
      <c r="I17" s="49"/>
      <c r="J17" s="48"/>
      <c r="K17" s="48"/>
      <c r="L17" s="49"/>
      <c r="M17" s="48"/>
      <c r="N17" s="48"/>
      <c r="O17" s="49"/>
      <c r="P17" s="50">
        <f t="shared" si="0"/>
        <v>0</v>
      </c>
      <c r="Q17" s="50">
        <f>P17+'23'!Q17</f>
        <v>0.22700000000000001</v>
      </c>
      <c r="R17" s="99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>
      <c r="A18" s="146"/>
      <c r="B18" s="147"/>
      <c r="C18" s="122" t="s">
        <v>90</v>
      </c>
      <c r="D18" s="123"/>
      <c r="E18" s="124"/>
      <c r="F18" s="47" t="s">
        <v>35</v>
      </c>
      <c r="G18" s="48"/>
      <c r="H18" s="48"/>
      <c r="I18" s="49"/>
      <c r="J18" s="48"/>
      <c r="K18" s="48"/>
      <c r="L18" s="49"/>
      <c r="M18" s="48"/>
      <c r="N18" s="48"/>
      <c r="O18" s="49"/>
      <c r="P18" s="50">
        <f t="shared" si="0"/>
        <v>0</v>
      </c>
      <c r="Q18" s="50">
        <f>P18+'23'!Q18</f>
        <v>102.732</v>
      </c>
      <c r="R18" s="99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>
      <c r="A19" s="146"/>
      <c r="B19" s="147"/>
      <c r="C19" s="122" t="s">
        <v>91</v>
      </c>
      <c r="D19" s="123"/>
      <c r="E19" s="124"/>
      <c r="F19" s="47" t="s">
        <v>35</v>
      </c>
      <c r="G19" s="48"/>
      <c r="H19" s="48"/>
      <c r="I19" s="49"/>
      <c r="J19" s="48"/>
      <c r="K19" s="48"/>
      <c r="L19" s="49"/>
      <c r="M19" s="48"/>
      <c r="N19" s="48"/>
      <c r="O19" s="49"/>
      <c r="P19" s="50">
        <f t="shared" si="0"/>
        <v>0</v>
      </c>
      <c r="Q19" s="50">
        <f>P19+'23'!Q19</f>
        <v>34.469000000000001</v>
      </c>
      <c r="R19" s="99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>
      <c r="A20" s="146"/>
      <c r="B20" s="147"/>
      <c r="C20" s="122" t="s">
        <v>92</v>
      </c>
      <c r="D20" s="123"/>
      <c r="E20" s="124"/>
      <c r="F20" s="63" t="s">
        <v>35</v>
      </c>
      <c r="G20" s="48"/>
      <c r="H20" s="48"/>
      <c r="I20" s="49"/>
      <c r="J20" s="48"/>
      <c r="K20" s="48"/>
      <c r="L20" s="49"/>
      <c r="M20" s="48"/>
      <c r="N20" s="48"/>
      <c r="O20" s="49"/>
      <c r="P20" s="50">
        <f t="shared" si="0"/>
        <v>0</v>
      </c>
      <c r="Q20" s="50">
        <f>P20+'23'!Q20</f>
        <v>0.80600000000000005</v>
      </c>
      <c r="R20" s="99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>
      <c r="A21" s="130"/>
      <c r="B21" s="131"/>
      <c r="C21" s="132" t="s">
        <v>93</v>
      </c>
      <c r="D21" s="133"/>
      <c r="E21" s="134"/>
      <c r="F21" s="52">
        <f>F14*(0.5/100)</f>
        <v>0.2</v>
      </c>
      <c r="G21" s="53"/>
      <c r="H21" s="53"/>
      <c r="I21" s="54"/>
      <c r="J21" s="53"/>
      <c r="K21" s="53"/>
      <c r="L21" s="54"/>
      <c r="M21" s="53"/>
      <c r="N21" s="53"/>
      <c r="O21" s="54"/>
      <c r="P21" s="55">
        <f t="shared" si="0"/>
        <v>0</v>
      </c>
      <c r="Q21" s="55">
        <f>P21+'23'!Q21</f>
        <v>7.8379000000000003</v>
      </c>
      <c r="R21" s="99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>
      <c r="A22" s="128" t="s">
        <v>105</v>
      </c>
      <c r="B22" s="129"/>
      <c r="C22" s="119" t="s">
        <v>94</v>
      </c>
      <c r="D22" s="120"/>
      <c r="E22" s="121"/>
      <c r="F22" s="56">
        <v>24</v>
      </c>
      <c r="G22" s="60"/>
      <c r="H22" s="58"/>
      <c r="I22" s="65"/>
      <c r="J22" s="60"/>
      <c r="K22" s="58"/>
      <c r="L22" s="65"/>
      <c r="M22" s="60"/>
      <c r="N22" s="58"/>
      <c r="O22" s="65"/>
      <c r="P22" s="61">
        <f t="shared" si="0"/>
        <v>0</v>
      </c>
      <c r="Q22" s="61">
        <f>P22+'23'!Q22</f>
        <v>261.41299999999995</v>
      </c>
      <c r="R22" s="102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>
      <c r="A23" s="130"/>
      <c r="B23" s="131"/>
      <c r="C23" s="132" t="s">
        <v>95</v>
      </c>
      <c r="D23" s="133"/>
      <c r="E23" s="134"/>
      <c r="F23" s="52">
        <v>24</v>
      </c>
      <c r="G23" s="53"/>
      <c r="H23" s="53"/>
      <c r="I23" s="66"/>
      <c r="J23" s="53"/>
      <c r="K23" s="53"/>
      <c r="L23" s="66"/>
      <c r="M23" s="53"/>
      <c r="N23" s="53"/>
      <c r="O23" s="66"/>
      <c r="P23" s="55">
        <f t="shared" si="0"/>
        <v>0</v>
      </c>
      <c r="Q23" s="55">
        <f>P23+'23'!Q23</f>
        <v>257.92829999999998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>
      <c r="A24" s="128" t="s">
        <v>106</v>
      </c>
      <c r="B24" s="129"/>
      <c r="C24" s="119" t="s">
        <v>96</v>
      </c>
      <c r="D24" s="120"/>
      <c r="E24" s="121"/>
      <c r="F24" s="56">
        <v>24</v>
      </c>
      <c r="G24" s="60"/>
      <c r="H24" s="58"/>
      <c r="I24" s="59"/>
      <c r="J24" s="60"/>
      <c r="K24" s="58"/>
      <c r="L24" s="59"/>
      <c r="M24" s="60"/>
      <c r="N24" s="58"/>
      <c r="O24" s="59"/>
      <c r="P24" s="61">
        <f t="shared" si="0"/>
        <v>0</v>
      </c>
      <c r="Q24" s="61">
        <f>P24+'23'!Q24</f>
        <v>325.03199999999998</v>
      </c>
      <c r="R24" s="97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>
      <c r="A25" s="135"/>
      <c r="B25" s="136"/>
      <c r="C25" s="122" t="s">
        <v>46</v>
      </c>
      <c r="D25" s="123"/>
      <c r="E25" s="124"/>
      <c r="F25" s="47" t="s">
        <v>35</v>
      </c>
      <c r="G25" s="48"/>
      <c r="H25" s="48"/>
      <c r="I25" s="49"/>
      <c r="J25" s="48"/>
      <c r="K25" s="48"/>
      <c r="L25" s="49"/>
      <c r="M25" s="48"/>
      <c r="N25" s="48"/>
      <c r="O25" s="49"/>
      <c r="P25" s="50">
        <f t="shared" si="0"/>
        <v>0</v>
      </c>
      <c r="Q25" s="50">
        <f>P25+'23'!Q25</f>
        <v>7.5114999999999998</v>
      </c>
      <c r="R25" s="99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>
      <c r="A26" s="135"/>
      <c r="B26" s="136"/>
      <c r="C26" s="122" t="s">
        <v>97</v>
      </c>
      <c r="D26" s="123"/>
      <c r="E26" s="124"/>
      <c r="F26" s="47" t="s">
        <v>35</v>
      </c>
      <c r="G26" s="48"/>
      <c r="H26" s="48"/>
      <c r="I26" s="49"/>
      <c r="J26" s="48"/>
      <c r="K26" s="48"/>
      <c r="L26" s="49"/>
      <c r="M26" s="48"/>
      <c r="N26" s="48"/>
      <c r="O26" s="49"/>
      <c r="P26" s="50">
        <f t="shared" si="0"/>
        <v>0</v>
      </c>
      <c r="Q26" s="50">
        <f>P26+'23'!Q26</f>
        <v>305.67500000000001</v>
      </c>
      <c r="R26" s="99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>
      <c r="A27" s="135"/>
      <c r="B27" s="136"/>
      <c r="C27" s="122" t="s">
        <v>98</v>
      </c>
      <c r="D27" s="123"/>
      <c r="E27" s="124"/>
      <c r="F27" s="47" t="s">
        <v>35</v>
      </c>
      <c r="G27" s="48"/>
      <c r="H27" s="48"/>
      <c r="I27" s="49"/>
      <c r="J27" s="48"/>
      <c r="K27" s="48"/>
      <c r="L27" s="49"/>
      <c r="M27" s="48"/>
      <c r="N27" s="48"/>
      <c r="O27" s="49"/>
      <c r="P27" s="50">
        <f t="shared" si="0"/>
        <v>0</v>
      </c>
      <c r="Q27" s="50">
        <f>P27+'23'!Q27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>
      <c r="A28" s="130"/>
      <c r="B28" s="131"/>
      <c r="C28" s="132" t="s">
        <v>99</v>
      </c>
      <c r="D28" s="133"/>
      <c r="E28" s="134"/>
      <c r="F28" s="52" t="s">
        <v>35</v>
      </c>
      <c r="G28" s="53"/>
      <c r="H28" s="53"/>
      <c r="I28" s="54"/>
      <c r="J28" s="53"/>
      <c r="K28" s="53"/>
      <c r="L28" s="54"/>
      <c r="M28" s="53"/>
      <c r="N28" s="53"/>
      <c r="O28" s="54"/>
      <c r="P28" s="55">
        <f t="shared" si="0"/>
        <v>0</v>
      </c>
      <c r="Q28" s="55">
        <f>P28+'23'!Q28</f>
        <v>12.7234</v>
      </c>
      <c r="R28" s="97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>
      <c r="A29" s="113">
        <v>104</v>
      </c>
      <c r="B29" s="114"/>
      <c r="C29" s="119" t="s">
        <v>100</v>
      </c>
      <c r="D29" s="120"/>
      <c r="E29" s="121"/>
      <c r="F29" s="56"/>
      <c r="G29" s="60"/>
      <c r="H29" s="58"/>
      <c r="I29" s="59"/>
      <c r="J29" s="60"/>
      <c r="K29" s="58"/>
      <c r="L29" s="59"/>
      <c r="M29" s="60"/>
      <c r="N29" s="58"/>
      <c r="O29" s="59"/>
      <c r="P29" s="61">
        <f t="shared" si="0"/>
        <v>0</v>
      </c>
      <c r="Q29" s="61">
        <f>P29+'23'!Q29</f>
        <v>186.76400000000004</v>
      </c>
      <c r="R29" s="102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>
      <c r="A30" s="115"/>
      <c r="B30" s="116"/>
      <c r="C30" s="122" t="s">
        <v>102</v>
      </c>
      <c r="D30" s="123"/>
      <c r="E30" s="124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50">
        <f t="shared" si="0"/>
        <v>0</v>
      </c>
      <c r="Q30" s="50">
        <f>P30+'23'!Q30</f>
        <v>0</v>
      </c>
      <c r="R30" s="99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>
      <c r="A31" s="115"/>
      <c r="B31" s="116"/>
      <c r="C31" s="122" t="s">
        <v>101</v>
      </c>
      <c r="D31" s="123"/>
      <c r="E31" s="124"/>
      <c r="F31" s="47"/>
      <c r="G31" s="48"/>
      <c r="H31" s="48"/>
      <c r="I31" s="49"/>
      <c r="J31" s="48"/>
      <c r="K31" s="48"/>
      <c r="L31" s="49"/>
      <c r="M31" s="48"/>
      <c r="N31" s="48"/>
      <c r="O31" s="49"/>
      <c r="P31" s="50">
        <f t="shared" si="0"/>
        <v>0</v>
      </c>
      <c r="Q31" s="50">
        <f>P31+'23'!Q31</f>
        <v>37.08</v>
      </c>
      <c r="R31" s="99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>
      <c r="A32" s="115"/>
      <c r="B32" s="116"/>
      <c r="C32" s="122" t="s">
        <v>103</v>
      </c>
      <c r="D32" s="123"/>
      <c r="E32" s="124"/>
      <c r="F32" s="47"/>
      <c r="G32" s="48">
        <v>3.8260000000000001</v>
      </c>
      <c r="H32" s="48"/>
      <c r="I32" s="49" t="s">
        <v>74</v>
      </c>
      <c r="J32" s="48"/>
      <c r="K32" s="48"/>
      <c r="L32" s="49"/>
      <c r="M32" s="49"/>
      <c r="N32" s="48"/>
      <c r="O32" s="49"/>
      <c r="P32" s="50">
        <f t="shared" si="0"/>
        <v>3.8260000000000001</v>
      </c>
      <c r="Q32" s="50">
        <f>P32+'23'!Q32</f>
        <v>202.91217</v>
      </c>
      <c r="R32" s="99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>
      <c r="A33" s="117"/>
      <c r="B33" s="118"/>
      <c r="C33" s="125" t="s">
        <v>104</v>
      </c>
      <c r="D33" s="126"/>
      <c r="E33" s="127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72">
        <f>G33+J33+M33</f>
        <v>0</v>
      </c>
      <c r="Q33" s="72">
        <f>P33+'23'!Q33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/>
    <row r="35" spans="1:26" ht="14.1" customHeight="1"/>
    <row r="36" spans="1:26" ht="14.1" customHeight="1"/>
    <row r="37" spans="1:26" ht="14.1" customHeight="1"/>
    <row r="38" spans="1:26" ht="14.1" customHeight="1"/>
    <row r="39" spans="1:26" ht="14.1" customHeight="1"/>
    <row r="40" spans="1:26" ht="14.1" customHeight="1"/>
    <row r="41" spans="1:26" ht="14.1" customHeight="1"/>
    <row r="42" spans="1:26" ht="14.1" customHeight="1"/>
    <row r="43" spans="1:26" ht="14.1" customHeight="1"/>
    <row r="44" spans="1:26" ht="14.1" customHeight="1"/>
    <row r="45" spans="1:26" ht="14.1" customHeight="1"/>
    <row r="46" spans="1:26" ht="14.1" customHeight="1"/>
    <row r="47" spans="1:26" ht="14.1" customHeight="1"/>
    <row r="48" spans="1:26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  <row r="58" ht="14.1" customHeight="1"/>
    <row r="59" ht="14.1" customHeight="1"/>
    <row r="60" ht="14.1" customHeight="1"/>
    <row r="61" ht="14.1" customHeight="1"/>
    <row r="62" ht="14.1" customHeight="1"/>
    <row r="63" ht="14.1" customHeight="1"/>
    <row r="64" ht="14.1" customHeight="1"/>
    <row r="65" ht="14.1" customHeight="1"/>
    <row r="66" ht="14.1" customHeight="1"/>
    <row r="67" ht="14.1" customHeight="1"/>
    <row r="68" ht="15" customHeight="1"/>
    <row r="69" ht="12.95" customHeight="1"/>
    <row r="70" ht="14.1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4.1" customHeight="1"/>
    <row r="122" ht="14.1" customHeight="1"/>
    <row r="123" ht="14.1" customHeight="1"/>
    <row r="124" ht="14.1" customHeight="1"/>
    <row r="125" ht="14.1" customHeight="1"/>
    <row r="126" ht="10.5" customHeight="1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9:B33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EE097D99-9C23-4451-A088-6E223E62D9C2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5601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16</xdr:col>
                    <xdr:colOff>704850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2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16</xdr:col>
                    <xdr:colOff>704850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3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16</xdr:col>
                    <xdr:colOff>704850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4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1A5DD-DA59-4640-B818-E6FA99278D3E}">
  <sheetPr codeName="Sheet28"/>
  <dimension ref="A1:Z126"/>
  <sheetViews>
    <sheetView showGridLines="0" zoomScale="85" zoomScaleNormal="85" zoomScaleSheetLayoutView="113" workbookViewId="0">
      <selection activeCell="A11" sqref="A11:E33"/>
    </sheetView>
  </sheetViews>
  <sheetFormatPr defaultColWidth="10.140625" defaultRowHeight="1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7.8554687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8" width="8.42578125" customWidth="1"/>
    <col min="27" max="16384" width="10.140625" style="9"/>
  </cols>
  <sheetData>
    <row r="1" spans="1:26" ht="15" customHeight="1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>
      <c r="A2" s="10"/>
      <c r="B2" s="10"/>
      <c r="C2" s="10"/>
      <c r="D2" s="10"/>
      <c r="E2" s="10"/>
      <c r="F2" s="10"/>
      <c r="G2" s="173"/>
      <c r="H2" s="173"/>
      <c r="I2" s="173"/>
      <c r="J2" s="173"/>
      <c r="K2" s="173"/>
      <c r="L2" s="173"/>
      <c r="M2" s="10"/>
      <c r="N2" s="11"/>
      <c r="O2" s="174"/>
      <c r="P2" s="174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>
      <c r="A3" s="10"/>
      <c r="B3" s="10"/>
      <c r="C3" s="10"/>
      <c r="D3" s="10"/>
      <c r="E3" s="10"/>
      <c r="F3" s="10"/>
      <c r="G3" s="173"/>
      <c r="H3" s="173"/>
      <c r="I3" s="173"/>
      <c r="J3" s="173"/>
      <c r="K3" s="173"/>
      <c r="L3" s="173"/>
      <c r="M3" s="10"/>
      <c r="N3" s="11"/>
      <c r="O3" s="174"/>
      <c r="P3" s="174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>
      <c r="A4" s="10"/>
      <c r="B4" s="10"/>
      <c r="C4" s="10"/>
      <c r="D4" s="10"/>
      <c r="E4" s="10"/>
      <c r="F4" s="10"/>
      <c r="G4" s="173"/>
      <c r="H4" s="173"/>
      <c r="I4" s="173"/>
      <c r="J4" s="173"/>
      <c r="K4" s="173"/>
      <c r="L4" s="173"/>
      <c r="M4" s="10"/>
      <c r="N4" s="11"/>
      <c r="O4" s="174"/>
      <c r="P4" s="174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>
      <c r="A5" s="169" t="s">
        <v>8</v>
      </c>
      <c r="B5" s="169"/>
      <c r="C5" s="16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>
      <c r="A6" s="169" t="s">
        <v>10</v>
      </c>
      <c r="B6" s="169"/>
      <c r="C6" s="169"/>
      <c r="D6" s="179">
        <f>'24'!D6+1</f>
        <v>46078</v>
      </c>
      <c r="E6" s="179"/>
      <c r="F6" s="28"/>
      <c r="G6" s="171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>
      <c r="A8" s="175" t="s">
        <v>11</v>
      </c>
      <c r="B8" s="175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9"/>
      <c r="T8" s="9"/>
      <c r="U8" s="9"/>
      <c r="V8" s="9"/>
      <c r="W8" s="9"/>
      <c r="X8" s="9"/>
      <c r="Y8" s="9"/>
      <c r="Z8" s="9"/>
    </row>
    <row r="9" spans="1:26" ht="24.95" customHeight="1">
      <c r="A9" s="158" t="s">
        <v>12</v>
      </c>
      <c r="B9" s="159"/>
      <c r="C9" s="162" t="s">
        <v>13</v>
      </c>
      <c r="D9" s="162"/>
      <c r="E9" s="163"/>
      <c r="F9" s="20" t="s">
        <v>14</v>
      </c>
      <c r="G9" s="166" t="s">
        <v>15</v>
      </c>
      <c r="H9" s="167"/>
      <c r="I9" s="21" t="s">
        <v>16</v>
      </c>
      <c r="J9" s="166" t="s">
        <v>17</v>
      </c>
      <c r="K9" s="167"/>
      <c r="L9" s="21" t="s">
        <v>16</v>
      </c>
      <c r="M9" s="166" t="s">
        <v>18</v>
      </c>
      <c r="N9" s="167"/>
      <c r="O9" s="22" t="s">
        <v>16</v>
      </c>
      <c r="P9" s="167" t="s">
        <v>19</v>
      </c>
      <c r="Q9" s="167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>
      <c r="A10" s="160"/>
      <c r="B10" s="161"/>
      <c r="C10" s="164"/>
      <c r="D10" s="164"/>
      <c r="E10" s="165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68"/>
      <c r="Q10" s="168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>
      <c r="A11" s="137">
        <v>101</v>
      </c>
      <c r="B11" s="138"/>
      <c r="C11" s="139" t="s">
        <v>83</v>
      </c>
      <c r="D11" s="139"/>
      <c r="E11" s="140"/>
      <c r="F11" s="41">
        <v>60</v>
      </c>
      <c r="G11" s="42"/>
      <c r="H11" s="43"/>
      <c r="I11" s="44"/>
      <c r="J11" s="42"/>
      <c r="K11" s="43"/>
      <c r="L11" s="44"/>
      <c r="M11" s="42"/>
      <c r="N11" s="43"/>
      <c r="O11" s="44"/>
      <c r="P11" s="45">
        <f>G11+J11+M11</f>
        <v>0</v>
      </c>
      <c r="Q11" s="45">
        <f>P11+'24'!Q11</f>
        <v>1065.7</v>
      </c>
      <c r="R11" s="97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>
      <c r="A12" s="135"/>
      <c r="B12" s="136"/>
      <c r="C12" s="141" t="s">
        <v>84</v>
      </c>
      <c r="D12" s="141"/>
      <c r="E12" s="142"/>
      <c r="F12" s="47">
        <v>30</v>
      </c>
      <c r="G12" s="48"/>
      <c r="H12" s="48"/>
      <c r="I12" s="49"/>
      <c r="J12" s="48"/>
      <c r="K12" s="48"/>
      <c r="L12" s="49"/>
      <c r="M12" s="48"/>
      <c r="N12" s="48"/>
      <c r="O12" s="49"/>
      <c r="P12" s="50">
        <f t="shared" ref="P12:P32" si="0">G12+J12+M12</f>
        <v>0</v>
      </c>
      <c r="Q12" s="50">
        <f>P12+'24'!Q12</f>
        <v>583.50000000000011</v>
      </c>
      <c r="R12" s="99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>
      <c r="A13" s="130"/>
      <c r="B13" s="131"/>
      <c r="C13" s="143" t="s">
        <v>85</v>
      </c>
      <c r="D13" s="143"/>
      <c r="E13" s="144"/>
      <c r="F13" s="52">
        <v>30</v>
      </c>
      <c r="G13" s="53"/>
      <c r="H13" s="53"/>
      <c r="I13" s="54"/>
      <c r="J13" s="53"/>
      <c r="K13" s="53"/>
      <c r="L13" s="54"/>
      <c r="M13" s="53"/>
      <c r="N13" s="53"/>
      <c r="O13" s="54"/>
      <c r="P13" s="55">
        <f t="shared" si="0"/>
        <v>0</v>
      </c>
      <c r="Q13" s="55">
        <f>P13+'24'!Q13</f>
        <v>488.7</v>
      </c>
      <c r="R13" s="99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>
      <c r="A14" s="128">
        <v>102</v>
      </c>
      <c r="B14" s="145"/>
      <c r="C14" s="148" t="s">
        <v>86</v>
      </c>
      <c r="D14" s="149"/>
      <c r="E14" s="150"/>
      <c r="F14" s="56">
        <v>40</v>
      </c>
      <c r="G14" s="57"/>
      <c r="H14" s="58"/>
      <c r="I14" s="59"/>
      <c r="J14" s="60"/>
      <c r="K14" s="58"/>
      <c r="L14" s="59"/>
      <c r="M14" s="60">
        <v>0.23799999999999999</v>
      </c>
      <c r="N14" s="58"/>
      <c r="O14" s="59" t="s">
        <v>81</v>
      </c>
      <c r="P14" s="61">
        <f t="shared" si="0"/>
        <v>0.23799999999999999</v>
      </c>
      <c r="Q14" s="61">
        <f>P14+'24'!Q14</f>
        <v>159.13200000000001</v>
      </c>
      <c r="R14" s="102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>
      <c r="A15" s="146"/>
      <c r="B15" s="147"/>
      <c r="C15" s="151" t="s">
        <v>87</v>
      </c>
      <c r="D15" s="152"/>
      <c r="E15" s="153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50">
        <f t="shared" si="0"/>
        <v>0</v>
      </c>
      <c r="Q15" s="50">
        <f>P15+'24'!Q15</f>
        <v>0</v>
      </c>
      <c r="R15" s="97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>
      <c r="A16" s="146"/>
      <c r="B16" s="147"/>
      <c r="C16" s="154" t="s">
        <v>88</v>
      </c>
      <c r="D16" s="155"/>
      <c r="E16" s="156"/>
      <c r="F16" s="47">
        <f>F14*(2/100)</f>
        <v>0.8</v>
      </c>
      <c r="G16" s="48"/>
      <c r="H16" s="48"/>
      <c r="I16" s="49"/>
      <c r="J16" s="48"/>
      <c r="K16" s="48"/>
      <c r="L16" s="49"/>
      <c r="M16" s="48">
        <v>3.5499999999999997E-2</v>
      </c>
      <c r="N16" s="48"/>
      <c r="O16" s="49" t="s">
        <v>63</v>
      </c>
      <c r="P16" s="50">
        <f t="shared" si="0"/>
        <v>3.5499999999999997E-2</v>
      </c>
      <c r="Q16" s="50">
        <f>P16+'24'!Q16</f>
        <v>12.914199999999999</v>
      </c>
      <c r="R16" s="99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>
      <c r="A17" s="146"/>
      <c r="B17" s="147"/>
      <c r="C17" s="122" t="s">
        <v>89</v>
      </c>
      <c r="D17" s="123"/>
      <c r="E17" s="124"/>
      <c r="F17" s="47">
        <f>F14*12/100</f>
        <v>4.8</v>
      </c>
      <c r="G17" s="48"/>
      <c r="H17" s="48"/>
      <c r="I17" s="49"/>
      <c r="J17" s="48"/>
      <c r="K17" s="48"/>
      <c r="L17" s="49"/>
      <c r="M17" s="48">
        <v>5.1999999999999998E-2</v>
      </c>
      <c r="N17" s="48"/>
      <c r="O17" s="49" t="s">
        <v>64</v>
      </c>
      <c r="P17" s="50">
        <f t="shared" si="0"/>
        <v>5.1999999999999998E-2</v>
      </c>
      <c r="Q17" s="50">
        <f>P17+'24'!Q17</f>
        <v>0.27900000000000003</v>
      </c>
      <c r="R17" s="99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>
      <c r="A18" s="146"/>
      <c r="B18" s="147"/>
      <c r="C18" s="122" t="s">
        <v>90</v>
      </c>
      <c r="D18" s="123"/>
      <c r="E18" s="124"/>
      <c r="F18" s="47" t="s">
        <v>35</v>
      </c>
      <c r="G18" s="48"/>
      <c r="H18" s="48"/>
      <c r="I18" s="49"/>
      <c r="J18" s="48"/>
      <c r="K18" s="48"/>
      <c r="L18" s="49"/>
      <c r="M18" s="48">
        <v>0.18</v>
      </c>
      <c r="N18" s="48"/>
      <c r="O18" s="49" t="s">
        <v>65</v>
      </c>
      <c r="P18" s="50">
        <f t="shared" si="0"/>
        <v>0.18</v>
      </c>
      <c r="Q18" s="50">
        <f>P18+'24'!Q18</f>
        <v>102.91200000000001</v>
      </c>
      <c r="R18" s="99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>
      <c r="A19" s="146"/>
      <c r="B19" s="147"/>
      <c r="C19" s="122" t="s">
        <v>91</v>
      </c>
      <c r="D19" s="123"/>
      <c r="E19" s="124"/>
      <c r="F19" s="47" t="s">
        <v>35</v>
      </c>
      <c r="G19" s="48"/>
      <c r="H19" s="48"/>
      <c r="I19" s="49"/>
      <c r="J19" s="48"/>
      <c r="K19" s="48"/>
      <c r="L19" s="49"/>
      <c r="M19" s="48"/>
      <c r="N19" s="48"/>
      <c r="O19" s="49"/>
      <c r="P19" s="50">
        <f t="shared" si="0"/>
        <v>0</v>
      </c>
      <c r="Q19" s="50">
        <f>P19+'24'!Q19</f>
        <v>34.469000000000001</v>
      </c>
      <c r="R19" s="99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>
      <c r="A20" s="146"/>
      <c r="B20" s="147"/>
      <c r="C20" s="122" t="s">
        <v>92</v>
      </c>
      <c r="D20" s="123"/>
      <c r="E20" s="124"/>
      <c r="F20" s="63" t="s">
        <v>35</v>
      </c>
      <c r="G20" s="48"/>
      <c r="H20" s="48"/>
      <c r="I20" s="49"/>
      <c r="J20" s="48"/>
      <c r="K20" s="48"/>
      <c r="L20" s="49"/>
      <c r="M20" s="48"/>
      <c r="N20" s="48"/>
      <c r="O20" s="49"/>
      <c r="P20" s="50">
        <f t="shared" si="0"/>
        <v>0</v>
      </c>
      <c r="Q20" s="50">
        <f>P20+'24'!Q20</f>
        <v>0.80600000000000005</v>
      </c>
      <c r="R20" s="99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>
      <c r="A21" s="130"/>
      <c r="B21" s="131"/>
      <c r="C21" s="132" t="s">
        <v>93</v>
      </c>
      <c r="D21" s="133"/>
      <c r="E21" s="134"/>
      <c r="F21" s="52">
        <f>F14*(0.5/100)</f>
        <v>0.2</v>
      </c>
      <c r="G21" s="53"/>
      <c r="H21" s="53"/>
      <c r="I21" s="54"/>
      <c r="J21" s="53"/>
      <c r="K21" s="53"/>
      <c r="L21" s="54"/>
      <c r="M21" s="53">
        <v>1.37E-2</v>
      </c>
      <c r="N21" s="53"/>
      <c r="O21" s="54" t="s">
        <v>66</v>
      </c>
      <c r="P21" s="55">
        <f t="shared" si="0"/>
        <v>1.37E-2</v>
      </c>
      <c r="Q21" s="55">
        <f>P21+'24'!Q21</f>
        <v>7.8516000000000004</v>
      </c>
      <c r="R21" s="99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>
      <c r="A22" s="128" t="s">
        <v>105</v>
      </c>
      <c r="B22" s="129"/>
      <c r="C22" s="119" t="s">
        <v>94</v>
      </c>
      <c r="D22" s="120"/>
      <c r="E22" s="121"/>
      <c r="F22" s="56">
        <v>24</v>
      </c>
      <c r="G22" s="60"/>
      <c r="H22" s="58"/>
      <c r="I22" s="65"/>
      <c r="J22" s="60"/>
      <c r="K22" s="58"/>
      <c r="L22" s="65"/>
      <c r="M22" s="60"/>
      <c r="N22" s="58"/>
      <c r="O22" s="65"/>
      <c r="P22" s="61">
        <f t="shared" si="0"/>
        <v>0</v>
      </c>
      <c r="Q22" s="61">
        <f>P22+'24'!Q22</f>
        <v>261.41299999999995</v>
      </c>
      <c r="R22" s="102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>
      <c r="A23" s="130"/>
      <c r="B23" s="131"/>
      <c r="C23" s="132" t="s">
        <v>95</v>
      </c>
      <c r="D23" s="133"/>
      <c r="E23" s="134"/>
      <c r="F23" s="52">
        <v>24</v>
      </c>
      <c r="G23" s="53"/>
      <c r="H23" s="53"/>
      <c r="I23" s="66"/>
      <c r="J23" s="53"/>
      <c r="K23" s="53"/>
      <c r="L23" s="66"/>
      <c r="M23" s="53"/>
      <c r="N23" s="53"/>
      <c r="O23" s="66"/>
      <c r="P23" s="55">
        <f t="shared" si="0"/>
        <v>0</v>
      </c>
      <c r="Q23" s="55">
        <f>P23+'24'!Q23</f>
        <v>257.92829999999998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>
      <c r="A24" s="128" t="s">
        <v>106</v>
      </c>
      <c r="B24" s="129"/>
      <c r="C24" s="119" t="s">
        <v>96</v>
      </c>
      <c r="D24" s="120"/>
      <c r="E24" s="121"/>
      <c r="F24" s="56">
        <v>24</v>
      </c>
      <c r="G24" s="60"/>
      <c r="H24" s="58"/>
      <c r="I24" s="59"/>
      <c r="J24" s="60"/>
      <c r="K24" s="58"/>
      <c r="L24" s="59"/>
      <c r="M24" s="60"/>
      <c r="N24" s="58"/>
      <c r="O24" s="59"/>
      <c r="P24" s="61">
        <f t="shared" si="0"/>
        <v>0</v>
      </c>
      <c r="Q24" s="61">
        <f>P24+'24'!Q24</f>
        <v>325.03199999999998</v>
      </c>
      <c r="R24" s="97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>
      <c r="A25" s="135"/>
      <c r="B25" s="136"/>
      <c r="C25" s="122" t="s">
        <v>46</v>
      </c>
      <c r="D25" s="123"/>
      <c r="E25" s="124"/>
      <c r="F25" s="47" t="s">
        <v>35</v>
      </c>
      <c r="G25" s="48"/>
      <c r="H25" s="48"/>
      <c r="I25" s="49"/>
      <c r="J25" s="48"/>
      <c r="K25" s="48"/>
      <c r="L25" s="49"/>
      <c r="M25" s="48"/>
      <c r="N25" s="48"/>
      <c r="O25" s="49"/>
      <c r="P25" s="50">
        <f t="shared" si="0"/>
        <v>0</v>
      </c>
      <c r="Q25" s="50">
        <f>P25+'24'!Q25</f>
        <v>7.5114999999999998</v>
      </c>
      <c r="R25" s="99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>
      <c r="A26" s="135"/>
      <c r="B26" s="136"/>
      <c r="C26" s="122" t="s">
        <v>97</v>
      </c>
      <c r="D26" s="123"/>
      <c r="E26" s="124"/>
      <c r="F26" s="47" t="s">
        <v>35</v>
      </c>
      <c r="G26" s="48"/>
      <c r="H26" s="48"/>
      <c r="I26" s="49"/>
      <c r="J26" s="48"/>
      <c r="K26" s="48"/>
      <c r="L26" s="49"/>
      <c r="M26" s="48"/>
      <c r="N26" s="48"/>
      <c r="O26" s="49"/>
      <c r="P26" s="50">
        <f t="shared" si="0"/>
        <v>0</v>
      </c>
      <c r="Q26" s="50">
        <f>P26+'24'!Q26</f>
        <v>305.67500000000001</v>
      </c>
      <c r="R26" s="99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>
      <c r="A27" s="135"/>
      <c r="B27" s="136"/>
      <c r="C27" s="122" t="s">
        <v>98</v>
      </c>
      <c r="D27" s="123"/>
      <c r="E27" s="124"/>
      <c r="F27" s="47" t="s">
        <v>35</v>
      </c>
      <c r="G27" s="48"/>
      <c r="H27" s="48"/>
      <c r="I27" s="49"/>
      <c r="J27" s="48"/>
      <c r="K27" s="48"/>
      <c r="L27" s="49"/>
      <c r="M27" s="48"/>
      <c r="N27" s="48"/>
      <c r="O27" s="49"/>
      <c r="P27" s="50">
        <f t="shared" si="0"/>
        <v>0</v>
      </c>
      <c r="Q27" s="50">
        <f>P27+'24'!Q27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>
      <c r="A28" s="130"/>
      <c r="B28" s="131"/>
      <c r="C28" s="132" t="s">
        <v>99</v>
      </c>
      <c r="D28" s="133"/>
      <c r="E28" s="134"/>
      <c r="F28" s="52" t="s">
        <v>35</v>
      </c>
      <c r="G28" s="53"/>
      <c r="H28" s="53"/>
      <c r="I28" s="54"/>
      <c r="J28" s="53"/>
      <c r="K28" s="53"/>
      <c r="L28" s="54"/>
      <c r="M28" s="53"/>
      <c r="N28" s="53"/>
      <c r="O28" s="54"/>
      <c r="P28" s="55">
        <f t="shared" si="0"/>
        <v>0</v>
      </c>
      <c r="Q28" s="55">
        <f>P28+'24'!Q28</f>
        <v>12.7234</v>
      </c>
      <c r="R28" s="97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>
      <c r="A29" s="113">
        <v>104</v>
      </c>
      <c r="B29" s="114"/>
      <c r="C29" s="119" t="s">
        <v>100</v>
      </c>
      <c r="D29" s="120"/>
      <c r="E29" s="121"/>
      <c r="F29" s="56"/>
      <c r="G29" s="60">
        <v>12.416</v>
      </c>
      <c r="H29" s="58"/>
      <c r="I29" s="59" t="s">
        <v>55</v>
      </c>
      <c r="J29" s="60"/>
      <c r="K29" s="58"/>
      <c r="L29" s="59"/>
      <c r="M29" s="60"/>
      <c r="N29" s="58"/>
      <c r="O29" s="59"/>
      <c r="P29" s="61">
        <f t="shared" si="0"/>
        <v>12.416</v>
      </c>
      <c r="Q29" s="61">
        <f>P29+'24'!Q29</f>
        <v>199.18000000000004</v>
      </c>
      <c r="R29" s="102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>
      <c r="A30" s="115"/>
      <c r="B30" s="116"/>
      <c r="C30" s="122" t="s">
        <v>102</v>
      </c>
      <c r="D30" s="123"/>
      <c r="E30" s="124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50">
        <f t="shared" si="0"/>
        <v>0</v>
      </c>
      <c r="Q30" s="50">
        <f>P30+'24'!Q30</f>
        <v>0</v>
      </c>
      <c r="R30" s="99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>
      <c r="A31" s="115"/>
      <c r="B31" s="116"/>
      <c r="C31" s="122" t="s">
        <v>101</v>
      </c>
      <c r="D31" s="123"/>
      <c r="E31" s="124"/>
      <c r="F31" s="47"/>
      <c r="G31" s="48">
        <v>2.4649999999999999</v>
      </c>
      <c r="H31" s="48"/>
      <c r="I31" s="49" t="s">
        <v>58</v>
      </c>
      <c r="J31" s="48"/>
      <c r="K31" s="48"/>
      <c r="L31" s="49"/>
      <c r="M31" s="48"/>
      <c r="N31" s="48"/>
      <c r="O31" s="49"/>
      <c r="P31" s="50">
        <f t="shared" si="0"/>
        <v>2.4649999999999999</v>
      </c>
      <c r="Q31" s="50">
        <f>P31+'24'!Q31</f>
        <v>39.545000000000002</v>
      </c>
      <c r="R31" s="99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>
      <c r="A32" s="115"/>
      <c r="B32" s="116"/>
      <c r="C32" s="122" t="s">
        <v>103</v>
      </c>
      <c r="D32" s="123"/>
      <c r="E32" s="124"/>
      <c r="F32" s="47"/>
      <c r="G32" s="48">
        <v>5.8201599999999996</v>
      </c>
      <c r="H32" s="48"/>
      <c r="I32" s="49" t="s">
        <v>76</v>
      </c>
      <c r="J32" s="48">
        <v>7.1189999999999998</v>
      </c>
      <c r="K32" s="48"/>
      <c r="L32" s="49" t="s">
        <v>76</v>
      </c>
      <c r="M32" s="49"/>
      <c r="N32" s="48"/>
      <c r="O32" s="49"/>
      <c r="P32" s="50">
        <f t="shared" si="0"/>
        <v>12.939159999999999</v>
      </c>
      <c r="Q32" s="50">
        <f>P32+'24'!Q32</f>
        <v>215.85132999999999</v>
      </c>
      <c r="R32" s="99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>
      <c r="A33" s="117"/>
      <c r="B33" s="118"/>
      <c r="C33" s="125" t="s">
        <v>104</v>
      </c>
      <c r="D33" s="126"/>
      <c r="E33" s="127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72">
        <f>G33+J33+M33</f>
        <v>0</v>
      </c>
      <c r="Q33" s="72">
        <f>P33+'24'!Q33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/>
    <row r="35" spans="1:26" ht="14.1" customHeight="1"/>
    <row r="36" spans="1:26" ht="14.1" customHeight="1"/>
    <row r="37" spans="1:26" ht="14.1" customHeight="1"/>
    <row r="38" spans="1:26" ht="14.1" customHeight="1"/>
    <row r="39" spans="1:26" ht="14.1" customHeight="1"/>
    <row r="40" spans="1:26" ht="14.1" customHeight="1"/>
    <row r="41" spans="1:26" ht="14.1" customHeight="1"/>
    <row r="42" spans="1:26" ht="14.1" customHeight="1"/>
    <row r="43" spans="1:26" ht="14.1" customHeight="1"/>
    <row r="44" spans="1:26" ht="14.1" customHeight="1"/>
    <row r="45" spans="1:26" ht="14.1" customHeight="1"/>
    <row r="46" spans="1:26" ht="14.1" customHeight="1"/>
    <row r="47" spans="1:26" ht="14.1" customHeight="1"/>
    <row r="48" spans="1:26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  <row r="58" ht="14.1" customHeight="1"/>
    <row r="59" ht="14.1" customHeight="1"/>
    <row r="60" ht="14.1" customHeight="1"/>
    <row r="61" ht="14.1" customHeight="1"/>
    <row r="62" ht="14.1" customHeight="1"/>
    <row r="63" ht="14.1" customHeight="1"/>
    <row r="64" ht="14.1" customHeight="1"/>
    <row r="65" ht="14.1" customHeight="1"/>
    <row r="66" ht="14.1" customHeight="1"/>
    <row r="67" ht="14.1" customHeight="1"/>
    <row r="68" ht="15" customHeight="1"/>
    <row r="69" ht="12.95" customHeight="1"/>
    <row r="70" ht="14.1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4.1" customHeight="1"/>
    <row r="122" ht="14.1" customHeight="1"/>
    <row r="123" ht="14.1" customHeight="1"/>
    <row r="124" ht="14.1" customHeight="1"/>
    <row r="125" ht="14.1" customHeight="1"/>
    <row r="126" ht="10.5" customHeight="1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E32FC1E2-9463-4130-AA3B-00E3FCC3E53E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6625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6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7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8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B7105-7269-4D97-AF27-A386A3C1CCAF}">
  <sheetPr codeName="Sheet29"/>
  <dimension ref="A1:Z126"/>
  <sheetViews>
    <sheetView showGridLines="0" zoomScale="85" zoomScaleNormal="85" zoomScaleSheetLayoutView="113" workbookViewId="0">
      <selection activeCell="A11" sqref="A11:E33"/>
    </sheetView>
  </sheetViews>
  <sheetFormatPr defaultColWidth="10.140625" defaultRowHeight="1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7.8554687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8" width="8.42578125" customWidth="1"/>
    <col min="27" max="16384" width="10.140625" style="9"/>
  </cols>
  <sheetData>
    <row r="1" spans="1:26" ht="15" customHeight="1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>
      <c r="A2" s="10"/>
      <c r="B2" s="10"/>
      <c r="C2" s="10"/>
      <c r="D2" s="10"/>
      <c r="E2" s="10"/>
      <c r="F2" s="10"/>
      <c r="G2" s="173"/>
      <c r="H2" s="173"/>
      <c r="I2" s="173"/>
      <c r="J2" s="173"/>
      <c r="K2" s="173"/>
      <c r="L2" s="173"/>
      <c r="M2" s="10"/>
      <c r="N2" s="11"/>
      <c r="O2" s="174"/>
      <c r="P2" s="174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>
      <c r="A3" s="10"/>
      <c r="B3" s="10"/>
      <c r="C3" s="10"/>
      <c r="D3" s="10"/>
      <c r="E3" s="10"/>
      <c r="F3" s="10"/>
      <c r="G3" s="173"/>
      <c r="H3" s="173"/>
      <c r="I3" s="173"/>
      <c r="J3" s="173"/>
      <c r="K3" s="173"/>
      <c r="L3" s="173"/>
      <c r="M3" s="10"/>
      <c r="N3" s="11"/>
      <c r="O3" s="174"/>
      <c r="P3" s="174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>
      <c r="A4" s="10"/>
      <c r="B4" s="10"/>
      <c r="C4" s="10"/>
      <c r="D4" s="10"/>
      <c r="E4" s="10"/>
      <c r="F4" s="10"/>
      <c r="G4" s="173"/>
      <c r="H4" s="173"/>
      <c r="I4" s="173"/>
      <c r="J4" s="173"/>
      <c r="K4" s="173"/>
      <c r="L4" s="173"/>
      <c r="M4" s="10"/>
      <c r="N4" s="11"/>
      <c r="O4" s="174"/>
      <c r="P4" s="174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>
      <c r="A5" s="169" t="s">
        <v>8</v>
      </c>
      <c r="B5" s="169"/>
      <c r="C5" s="16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>
      <c r="A6" s="169" t="s">
        <v>10</v>
      </c>
      <c r="B6" s="169"/>
      <c r="C6" s="169"/>
      <c r="D6" s="179">
        <f>'25'!D6+1</f>
        <v>46079</v>
      </c>
      <c r="E6" s="179"/>
      <c r="F6" s="28"/>
      <c r="G6" s="171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>
      <c r="A8" s="175" t="s">
        <v>11</v>
      </c>
      <c r="B8" s="175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9"/>
      <c r="T8" s="9"/>
      <c r="U8" s="9"/>
      <c r="V8" s="9"/>
      <c r="W8" s="9"/>
      <c r="X8" s="9"/>
      <c r="Y8" s="9"/>
      <c r="Z8" s="9"/>
    </row>
    <row r="9" spans="1:26" ht="24.95" customHeight="1">
      <c r="A9" s="158" t="s">
        <v>12</v>
      </c>
      <c r="B9" s="159"/>
      <c r="C9" s="162" t="s">
        <v>13</v>
      </c>
      <c r="D9" s="162"/>
      <c r="E9" s="163"/>
      <c r="F9" s="20" t="s">
        <v>14</v>
      </c>
      <c r="G9" s="166" t="s">
        <v>15</v>
      </c>
      <c r="H9" s="167"/>
      <c r="I9" s="21" t="s">
        <v>16</v>
      </c>
      <c r="J9" s="166" t="s">
        <v>17</v>
      </c>
      <c r="K9" s="167"/>
      <c r="L9" s="21" t="s">
        <v>16</v>
      </c>
      <c r="M9" s="166" t="s">
        <v>18</v>
      </c>
      <c r="N9" s="167"/>
      <c r="O9" s="22" t="s">
        <v>16</v>
      </c>
      <c r="P9" s="167" t="s">
        <v>19</v>
      </c>
      <c r="Q9" s="167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>
      <c r="A10" s="160"/>
      <c r="B10" s="161"/>
      <c r="C10" s="164"/>
      <c r="D10" s="164"/>
      <c r="E10" s="165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68"/>
      <c r="Q10" s="168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>
      <c r="A11" s="137">
        <v>101</v>
      </c>
      <c r="B11" s="138"/>
      <c r="C11" s="139" t="s">
        <v>83</v>
      </c>
      <c r="D11" s="139"/>
      <c r="E11" s="140"/>
      <c r="F11" s="41">
        <v>60</v>
      </c>
      <c r="G11" s="42"/>
      <c r="H11" s="43"/>
      <c r="I11" s="44"/>
      <c r="J11" s="42"/>
      <c r="K11" s="43"/>
      <c r="L11" s="44"/>
      <c r="M11" s="42"/>
      <c r="N11" s="43"/>
      <c r="O11" s="44"/>
      <c r="P11" s="45">
        <f>G11+J11+M11</f>
        <v>0</v>
      </c>
      <c r="Q11" s="105">
        <f>P11+'25'!Q11</f>
        <v>1065.7</v>
      </c>
      <c r="R11" s="97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>
      <c r="A12" s="135"/>
      <c r="B12" s="136"/>
      <c r="C12" s="141" t="s">
        <v>84</v>
      </c>
      <c r="D12" s="141"/>
      <c r="E12" s="142"/>
      <c r="F12" s="47">
        <v>30</v>
      </c>
      <c r="G12" s="48"/>
      <c r="H12" s="48"/>
      <c r="I12" s="49"/>
      <c r="J12" s="48"/>
      <c r="K12" s="48"/>
      <c r="L12" s="49"/>
      <c r="M12" s="48"/>
      <c r="N12" s="48"/>
      <c r="O12" s="49"/>
      <c r="P12" s="50">
        <f t="shared" ref="P12:P32" si="0">G12+J12+M12</f>
        <v>0</v>
      </c>
      <c r="Q12" s="50">
        <f>P12+'25'!Q12</f>
        <v>583.50000000000011</v>
      </c>
      <c r="R12" s="99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>
      <c r="A13" s="130"/>
      <c r="B13" s="131"/>
      <c r="C13" s="143" t="s">
        <v>85</v>
      </c>
      <c r="D13" s="143"/>
      <c r="E13" s="144"/>
      <c r="F13" s="52">
        <v>30</v>
      </c>
      <c r="G13" s="53"/>
      <c r="H13" s="53"/>
      <c r="I13" s="54"/>
      <c r="J13" s="53"/>
      <c r="K13" s="53"/>
      <c r="L13" s="54"/>
      <c r="M13" s="53"/>
      <c r="N13" s="53"/>
      <c r="O13" s="54"/>
      <c r="P13" s="55">
        <f t="shared" si="0"/>
        <v>0</v>
      </c>
      <c r="Q13" s="55">
        <f>P13+'25'!Q13</f>
        <v>488.7</v>
      </c>
      <c r="R13" s="99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>
      <c r="A14" s="128">
        <v>102</v>
      </c>
      <c r="B14" s="145"/>
      <c r="C14" s="148" t="s">
        <v>86</v>
      </c>
      <c r="D14" s="149"/>
      <c r="E14" s="150"/>
      <c r="F14" s="56">
        <v>40</v>
      </c>
      <c r="G14" s="57">
        <v>6.4470000000000001</v>
      </c>
      <c r="H14" s="58"/>
      <c r="I14" s="59" t="s">
        <v>81</v>
      </c>
      <c r="J14" s="60">
        <v>6.452</v>
      </c>
      <c r="K14" s="58"/>
      <c r="L14" s="59" t="s">
        <v>81</v>
      </c>
      <c r="M14" s="60">
        <v>6.3360000000000003</v>
      </c>
      <c r="N14" s="58"/>
      <c r="O14" s="59" t="s">
        <v>81</v>
      </c>
      <c r="P14" s="61">
        <f t="shared" si="0"/>
        <v>19.234999999999999</v>
      </c>
      <c r="Q14" s="61">
        <f>P14+'25'!Q14</f>
        <v>178.36700000000002</v>
      </c>
      <c r="R14" s="102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>
      <c r="A15" s="146"/>
      <c r="B15" s="147"/>
      <c r="C15" s="151" t="s">
        <v>87</v>
      </c>
      <c r="D15" s="152"/>
      <c r="E15" s="153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50">
        <f t="shared" si="0"/>
        <v>0</v>
      </c>
      <c r="Q15" s="50">
        <f>P15+'25'!Q15</f>
        <v>0</v>
      </c>
      <c r="R15" s="97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>
      <c r="A16" s="146"/>
      <c r="B16" s="147"/>
      <c r="C16" s="154" t="s">
        <v>88</v>
      </c>
      <c r="D16" s="155"/>
      <c r="E16" s="156"/>
      <c r="F16" s="47">
        <f>F14*(2/100)</f>
        <v>0.8</v>
      </c>
      <c r="G16" s="48">
        <v>0.998</v>
      </c>
      <c r="H16" s="48"/>
      <c r="I16" s="49" t="s">
        <v>63</v>
      </c>
      <c r="J16" s="48">
        <v>0.90080000000000005</v>
      </c>
      <c r="K16" s="48"/>
      <c r="L16" s="49" t="s">
        <v>63</v>
      </c>
      <c r="M16" s="48">
        <v>0.88990000000000002</v>
      </c>
      <c r="N16" s="48"/>
      <c r="O16" s="49" t="s">
        <v>63</v>
      </c>
      <c r="P16" s="50">
        <f t="shared" si="0"/>
        <v>2.7887</v>
      </c>
      <c r="Q16" s="50">
        <f>P16+'25'!Q16</f>
        <v>15.7029</v>
      </c>
      <c r="R16" s="99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>
      <c r="A17" s="146"/>
      <c r="B17" s="147"/>
      <c r="C17" s="122" t="s">
        <v>89</v>
      </c>
      <c r="D17" s="123"/>
      <c r="E17" s="124"/>
      <c r="F17" s="47">
        <f>F14*12/100</f>
        <v>4.8</v>
      </c>
      <c r="G17" s="48">
        <v>0.60099999999999998</v>
      </c>
      <c r="H17" s="48"/>
      <c r="I17" s="49" t="s">
        <v>64</v>
      </c>
      <c r="J17" s="48">
        <v>0</v>
      </c>
      <c r="K17" s="48"/>
      <c r="L17" s="49" t="s">
        <v>64</v>
      </c>
      <c r="M17" s="48">
        <v>0</v>
      </c>
      <c r="N17" s="48"/>
      <c r="O17" s="49" t="s">
        <v>64</v>
      </c>
      <c r="P17" s="50">
        <f t="shared" si="0"/>
        <v>0.60099999999999998</v>
      </c>
      <c r="Q17" s="50">
        <f>P17+'25'!Q17</f>
        <v>0.88</v>
      </c>
      <c r="R17" s="99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>
      <c r="A18" s="146"/>
      <c r="B18" s="147"/>
      <c r="C18" s="122" t="s">
        <v>90</v>
      </c>
      <c r="D18" s="123"/>
      <c r="E18" s="124"/>
      <c r="F18" s="47" t="s">
        <v>35</v>
      </c>
      <c r="G18" s="48">
        <v>3.444</v>
      </c>
      <c r="H18" s="48"/>
      <c r="I18" s="49" t="s">
        <v>65</v>
      </c>
      <c r="J18" s="48">
        <v>4.2839999999999998</v>
      </c>
      <c r="K18" s="48"/>
      <c r="L18" s="49" t="s">
        <v>65</v>
      </c>
      <c r="M18" s="48">
        <v>4.1459999999999999</v>
      </c>
      <c r="N18" s="48"/>
      <c r="O18" s="49" t="s">
        <v>65</v>
      </c>
      <c r="P18" s="50">
        <f t="shared" si="0"/>
        <v>11.873999999999999</v>
      </c>
      <c r="Q18" s="50">
        <f>P18+'25'!Q18</f>
        <v>114.786</v>
      </c>
      <c r="R18" s="99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>
      <c r="A19" s="146"/>
      <c r="B19" s="147"/>
      <c r="C19" s="122" t="s">
        <v>91</v>
      </c>
      <c r="D19" s="123"/>
      <c r="E19" s="124"/>
      <c r="F19" s="47" t="s">
        <v>35</v>
      </c>
      <c r="G19" s="48"/>
      <c r="H19" s="48"/>
      <c r="I19" s="49"/>
      <c r="J19" s="48"/>
      <c r="K19" s="48"/>
      <c r="L19" s="49"/>
      <c r="M19" s="48"/>
      <c r="N19" s="48"/>
      <c r="O19" s="49"/>
      <c r="P19" s="50">
        <f t="shared" si="0"/>
        <v>0</v>
      </c>
      <c r="Q19" s="50">
        <f>P19+'25'!Q19</f>
        <v>34.469000000000001</v>
      </c>
      <c r="R19" s="99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>
      <c r="A20" s="146"/>
      <c r="B20" s="147"/>
      <c r="C20" s="122" t="s">
        <v>92</v>
      </c>
      <c r="D20" s="123"/>
      <c r="E20" s="124"/>
      <c r="F20" s="63" t="s">
        <v>35</v>
      </c>
      <c r="G20" s="48">
        <v>0</v>
      </c>
      <c r="H20" s="48"/>
      <c r="I20" s="49" t="s">
        <v>79</v>
      </c>
      <c r="J20" s="48">
        <v>0</v>
      </c>
      <c r="K20" s="48"/>
      <c r="L20" s="49" t="s">
        <v>79</v>
      </c>
      <c r="M20" s="48">
        <v>0</v>
      </c>
      <c r="N20" s="48"/>
      <c r="O20" s="49" t="s">
        <v>79</v>
      </c>
      <c r="P20" s="50">
        <f t="shared" si="0"/>
        <v>0</v>
      </c>
      <c r="Q20" s="50">
        <f>P20+'25'!Q20</f>
        <v>0.80600000000000005</v>
      </c>
      <c r="R20" s="99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>
      <c r="A21" s="130"/>
      <c r="B21" s="131"/>
      <c r="C21" s="132" t="s">
        <v>93</v>
      </c>
      <c r="D21" s="133"/>
      <c r="E21" s="134"/>
      <c r="F21" s="52">
        <f>F14*(0.5/100)</f>
        <v>0.2</v>
      </c>
      <c r="G21" s="53">
        <v>0.76100000000000001</v>
      </c>
      <c r="H21" s="53"/>
      <c r="I21" s="54" t="s">
        <v>66</v>
      </c>
      <c r="J21" s="53">
        <v>1.1946000000000001</v>
      </c>
      <c r="K21" s="53"/>
      <c r="L21" s="54" t="s">
        <v>66</v>
      </c>
      <c r="M21" s="53">
        <v>1.2025999999999999</v>
      </c>
      <c r="N21" s="53"/>
      <c r="O21" s="54" t="s">
        <v>66</v>
      </c>
      <c r="P21" s="55">
        <f t="shared" si="0"/>
        <v>3.1581999999999999</v>
      </c>
      <c r="Q21" s="55">
        <f>P21+'25'!Q21</f>
        <v>11.0098</v>
      </c>
      <c r="R21" s="99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>
      <c r="A22" s="128" t="s">
        <v>105</v>
      </c>
      <c r="B22" s="129"/>
      <c r="C22" s="119" t="s">
        <v>94</v>
      </c>
      <c r="D22" s="120"/>
      <c r="E22" s="121"/>
      <c r="F22" s="56">
        <v>24</v>
      </c>
      <c r="G22" s="60"/>
      <c r="H22" s="58"/>
      <c r="I22" s="65"/>
      <c r="J22" s="60"/>
      <c r="K22" s="58"/>
      <c r="L22" s="65"/>
      <c r="M22" s="60"/>
      <c r="N22" s="58"/>
      <c r="O22" s="65"/>
      <c r="P22" s="61">
        <f t="shared" si="0"/>
        <v>0</v>
      </c>
      <c r="Q22" s="61">
        <f>P22+'25'!Q22</f>
        <v>261.41299999999995</v>
      </c>
      <c r="R22" s="102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>
      <c r="A23" s="130"/>
      <c r="B23" s="131"/>
      <c r="C23" s="132" t="s">
        <v>95</v>
      </c>
      <c r="D23" s="133"/>
      <c r="E23" s="134"/>
      <c r="F23" s="52">
        <v>24</v>
      </c>
      <c r="G23" s="53"/>
      <c r="H23" s="53"/>
      <c r="I23" s="66"/>
      <c r="J23" s="53"/>
      <c r="K23" s="53"/>
      <c r="L23" s="66"/>
      <c r="M23" s="53"/>
      <c r="N23" s="53"/>
      <c r="O23" s="66"/>
      <c r="P23" s="55">
        <f t="shared" si="0"/>
        <v>0</v>
      </c>
      <c r="Q23" s="55">
        <f>P23+'25'!Q23</f>
        <v>257.92829999999998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>
      <c r="A24" s="128" t="s">
        <v>106</v>
      </c>
      <c r="B24" s="129"/>
      <c r="C24" s="119" t="s">
        <v>96</v>
      </c>
      <c r="D24" s="120"/>
      <c r="E24" s="121"/>
      <c r="F24" s="56">
        <v>24</v>
      </c>
      <c r="G24" s="60"/>
      <c r="H24" s="58"/>
      <c r="I24" s="59"/>
      <c r="J24" s="60"/>
      <c r="K24" s="58"/>
      <c r="L24" s="59"/>
      <c r="M24" s="60"/>
      <c r="N24" s="58"/>
      <c r="O24" s="59"/>
      <c r="P24" s="61">
        <f t="shared" si="0"/>
        <v>0</v>
      </c>
      <c r="Q24" s="61">
        <f>P24+'25'!Q24</f>
        <v>325.03199999999998</v>
      </c>
      <c r="R24" s="97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>
      <c r="A25" s="135"/>
      <c r="B25" s="136"/>
      <c r="C25" s="122" t="s">
        <v>46</v>
      </c>
      <c r="D25" s="123"/>
      <c r="E25" s="124"/>
      <c r="F25" s="47" t="s">
        <v>35</v>
      </c>
      <c r="G25" s="48"/>
      <c r="H25" s="48"/>
      <c r="I25" s="49"/>
      <c r="J25" s="48"/>
      <c r="K25" s="48"/>
      <c r="L25" s="49"/>
      <c r="M25" s="48"/>
      <c r="N25" s="48"/>
      <c r="O25" s="49"/>
      <c r="P25" s="50">
        <f t="shared" si="0"/>
        <v>0</v>
      </c>
      <c r="Q25" s="50">
        <f>P25+'25'!Q25</f>
        <v>7.5114999999999998</v>
      </c>
      <c r="R25" s="99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>
      <c r="A26" s="135"/>
      <c r="B26" s="136"/>
      <c r="C26" s="122" t="s">
        <v>97</v>
      </c>
      <c r="D26" s="123"/>
      <c r="E26" s="124"/>
      <c r="F26" s="47" t="s">
        <v>35</v>
      </c>
      <c r="G26" s="48"/>
      <c r="H26" s="48"/>
      <c r="I26" s="49"/>
      <c r="J26" s="48"/>
      <c r="K26" s="48"/>
      <c r="L26" s="49"/>
      <c r="M26" s="48"/>
      <c r="N26" s="48"/>
      <c r="O26" s="49"/>
      <c r="P26" s="50">
        <f t="shared" si="0"/>
        <v>0</v>
      </c>
      <c r="Q26" s="50">
        <f>P26+'25'!Q26</f>
        <v>305.67500000000001</v>
      </c>
      <c r="R26" s="99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>
      <c r="A27" s="135"/>
      <c r="B27" s="136"/>
      <c r="C27" s="122" t="s">
        <v>98</v>
      </c>
      <c r="D27" s="123"/>
      <c r="E27" s="124"/>
      <c r="F27" s="47" t="s">
        <v>35</v>
      </c>
      <c r="G27" s="48"/>
      <c r="H27" s="48"/>
      <c r="I27" s="49"/>
      <c r="J27" s="48"/>
      <c r="K27" s="48"/>
      <c r="L27" s="49"/>
      <c r="M27" s="48"/>
      <c r="N27" s="48"/>
      <c r="O27" s="49"/>
      <c r="P27" s="50">
        <f t="shared" si="0"/>
        <v>0</v>
      </c>
      <c r="Q27" s="50">
        <f>P27+'25'!Q27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>
      <c r="A28" s="130"/>
      <c r="B28" s="131"/>
      <c r="C28" s="132" t="s">
        <v>99</v>
      </c>
      <c r="D28" s="133"/>
      <c r="E28" s="134"/>
      <c r="F28" s="52" t="s">
        <v>35</v>
      </c>
      <c r="G28" s="53"/>
      <c r="H28" s="53"/>
      <c r="I28" s="54"/>
      <c r="J28" s="53"/>
      <c r="K28" s="53"/>
      <c r="L28" s="54"/>
      <c r="M28" s="53"/>
      <c r="N28" s="53"/>
      <c r="O28" s="54"/>
      <c r="P28" s="55">
        <f t="shared" si="0"/>
        <v>0</v>
      </c>
      <c r="Q28" s="55">
        <f>P28+'25'!Q28</f>
        <v>12.7234</v>
      </c>
      <c r="R28" s="97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>
      <c r="A29" s="113">
        <v>104</v>
      </c>
      <c r="B29" s="114"/>
      <c r="C29" s="119" t="s">
        <v>100</v>
      </c>
      <c r="D29" s="120"/>
      <c r="E29" s="121"/>
      <c r="F29" s="56"/>
      <c r="G29" s="60"/>
      <c r="H29" s="58"/>
      <c r="I29" s="59"/>
      <c r="J29" s="60"/>
      <c r="K29" s="58"/>
      <c r="L29" s="59"/>
      <c r="M29" s="60"/>
      <c r="N29" s="58"/>
      <c r="O29" s="59"/>
      <c r="P29" s="61">
        <f t="shared" si="0"/>
        <v>0</v>
      </c>
      <c r="Q29" s="61">
        <f>P29+'25'!Q29</f>
        <v>199.18000000000004</v>
      </c>
      <c r="R29" s="102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>
      <c r="A30" s="115"/>
      <c r="B30" s="116"/>
      <c r="C30" s="122" t="s">
        <v>102</v>
      </c>
      <c r="D30" s="123"/>
      <c r="E30" s="124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50">
        <f t="shared" si="0"/>
        <v>0</v>
      </c>
      <c r="Q30" s="50">
        <f>P30+'25'!Q30</f>
        <v>0</v>
      </c>
      <c r="R30" s="99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>
      <c r="A31" s="115"/>
      <c r="B31" s="116"/>
      <c r="C31" s="122" t="s">
        <v>101</v>
      </c>
      <c r="D31" s="123"/>
      <c r="E31" s="124"/>
      <c r="F31" s="47"/>
      <c r="G31" s="48"/>
      <c r="H31" s="48"/>
      <c r="I31" s="49"/>
      <c r="J31" s="48"/>
      <c r="K31" s="48"/>
      <c r="L31" s="49"/>
      <c r="M31" s="48"/>
      <c r="N31" s="48"/>
      <c r="O31" s="49"/>
      <c r="P31" s="50">
        <f t="shared" si="0"/>
        <v>0</v>
      </c>
      <c r="Q31" s="50">
        <f>P31+'25'!Q31</f>
        <v>39.545000000000002</v>
      </c>
      <c r="R31" s="99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>
      <c r="A32" s="115"/>
      <c r="B32" s="116"/>
      <c r="C32" s="122" t="s">
        <v>103</v>
      </c>
      <c r="D32" s="123"/>
      <c r="E32" s="124"/>
      <c r="F32" s="47"/>
      <c r="G32" s="48"/>
      <c r="H32" s="48"/>
      <c r="I32" s="49"/>
      <c r="J32" s="48"/>
      <c r="K32" s="48"/>
      <c r="L32" s="49"/>
      <c r="M32" s="49"/>
      <c r="N32" s="48"/>
      <c r="O32" s="49"/>
      <c r="P32" s="50">
        <f t="shared" si="0"/>
        <v>0</v>
      </c>
      <c r="Q32" s="50">
        <f>P32+'25'!Q32</f>
        <v>215.85132999999999</v>
      </c>
      <c r="R32" s="99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>
      <c r="A33" s="117"/>
      <c r="B33" s="118"/>
      <c r="C33" s="125" t="s">
        <v>104</v>
      </c>
      <c r="D33" s="126"/>
      <c r="E33" s="127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72">
        <f>G33+J33+M33</f>
        <v>0</v>
      </c>
      <c r="Q33" s="72">
        <f>P33+'25'!Q33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/>
    <row r="35" spans="1:26" ht="14.1" customHeight="1"/>
    <row r="36" spans="1:26" ht="14.1" customHeight="1"/>
    <row r="37" spans="1:26" ht="14.1" customHeight="1"/>
    <row r="38" spans="1:26" ht="14.1" customHeight="1"/>
    <row r="39" spans="1:26" ht="14.1" customHeight="1"/>
    <row r="40" spans="1:26" ht="14.1" customHeight="1"/>
    <row r="41" spans="1:26" ht="14.1" customHeight="1"/>
    <row r="42" spans="1:26" ht="14.1" customHeight="1"/>
    <row r="43" spans="1:26" ht="14.1" customHeight="1"/>
    <row r="44" spans="1:26" ht="14.1" customHeight="1"/>
    <row r="45" spans="1:26" ht="14.1" customHeight="1"/>
    <row r="46" spans="1:26" ht="14.1" customHeight="1"/>
    <row r="47" spans="1:26" ht="14.1" customHeight="1"/>
    <row r="48" spans="1:26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  <row r="58" ht="14.1" customHeight="1"/>
    <row r="59" ht="14.1" customHeight="1"/>
    <row r="60" ht="14.1" customHeight="1"/>
    <row r="61" ht="14.1" customHeight="1"/>
    <row r="62" ht="14.1" customHeight="1"/>
    <row r="63" ht="14.1" customHeight="1"/>
    <row r="64" ht="14.1" customHeight="1"/>
    <row r="65" ht="14.1" customHeight="1"/>
    <row r="66" ht="14.1" customHeight="1"/>
    <row r="67" ht="14.1" customHeight="1"/>
    <row r="68" ht="15" customHeight="1"/>
    <row r="69" ht="12.95" customHeight="1"/>
    <row r="70" ht="14.1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4.1" customHeight="1"/>
    <row r="122" ht="14.1" customHeight="1"/>
    <row r="123" ht="14.1" customHeight="1"/>
    <row r="124" ht="14.1" customHeight="1"/>
    <row r="125" ht="14.1" customHeight="1"/>
    <row r="126" ht="10.5" customHeight="1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04220264-9BF2-4F93-9993-46E361B08A45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7649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0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1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2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C0262-0D0E-491A-B666-F9CE40D5FE80}">
  <sheetPr codeName="Sheet30"/>
  <dimension ref="A1:Z126"/>
  <sheetViews>
    <sheetView showGridLines="0" zoomScale="85" zoomScaleNormal="85" zoomScaleSheetLayoutView="113" workbookViewId="0">
      <selection activeCell="A11" sqref="A11:E33"/>
    </sheetView>
  </sheetViews>
  <sheetFormatPr defaultColWidth="10.140625" defaultRowHeight="1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7.8554687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8" width="8.42578125" customWidth="1"/>
    <col min="27" max="16384" width="10.140625" style="9"/>
  </cols>
  <sheetData>
    <row r="1" spans="1:26" ht="15" customHeight="1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>
      <c r="A2" s="10"/>
      <c r="B2" s="10"/>
      <c r="C2" s="10"/>
      <c r="D2" s="10"/>
      <c r="E2" s="10"/>
      <c r="F2" s="10"/>
      <c r="G2" s="173"/>
      <c r="H2" s="173"/>
      <c r="I2" s="173"/>
      <c r="J2" s="173"/>
      <c r="K2" s="173"/>
      <c r="L2" s="173"/>
      <c r="M2" s="10"/>
      <c r="N2" s="11"/>
      <c r="O2" s="174"/>
      <c r="P2" s="174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>
      <c r="A3" s="10"/>
      <c r="B3" s="10"/>
      <c r="C3" s="10"/>
      <c r="D3" s="10"/>
      <c r="E3" s="10"/>
      <c r="F3" s="10"/>
      <c r="G3" s="173"/>
      <c r="H3" s="173"/>
      <c r="I3" s="173"/>
      <c r="J3" s="173"/>
      <c r="K3" s="173"/>
      <c r="L3" s="173"/>
      <c r="M3" s="10"/>
      <c r="N3" s="11"/>
      <c r="O3" s="174"/>
      <c r="P3" s="174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>
      <c r="A4" s="10"/>
      <c r="B4" s="10"/>
      <c r="C4" s="10"/>
      <c r="D4" s="10"/>
      <c r="E4" s="10"/>
      <c r="F4" s="10"/>
      <c r="G4" s="173"/>
      <c r="H4" s="173"/>
      <c r="I4" s="173"/>
      <c r="J4" s="173"/>
      <c r="K4" s="173"/>
      <c r="L4" s="173"/>
      <c r="M4" s="10"/>
      <c r="N4" s="11"/>
      <c r="O4" s="174"/>
      <c r="P4" s="174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>
      <c r="A5" s="169" t="s">
        <v>8</v>
      </c>
      <c r="B5" s="169"/>
      <c r="C5" s="16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>
      <c r="A6" s="169" t="s">
        <v>10</v>
      </c>
      <c r="B6" s="169"/>
      <c r="C6" s="169"/>
      <c r="D6" s="179">
        <f>'26'!D6+1</f>
        <v>46080</v>
      </c>
      <c r="E6" s="179"/>
      <c r="F6" s="28"/>
      <c r="G6" s="171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>
      <c r="A8" s="175" t="s">
        <v>11</v>
      </c>
      <c r="B8" s="175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9"/>
      <c r="T8" s="9"/>
      <c r="U8" s="9"/>
      <c r="V8" s="9"/>
      <c r="W8" s="9"/>
      <c r="X8" s="9"/>
      <c r="Y8" s="9"/>
      <c r="Z8" s="9"/>
    </row>
    <row r="9" spans="1:26" ht="24.95" customHeight="1">
      <c r="A9" s="158" t="s">
        <v>12</v>
      </c>
      <c r="B9" s="159"/>
      <c r="C9" s="162" t="s">
        <v>13</v>
      </c>
      <c r="D9" s="162"/>
      <c r="E9" s="163"/>
      <c r="F9" s="20" t="s">
        <v>14</v>
      </c>
      <c r="G9" s="166" t="s">
        <v>15</v>
      </c>
      <c r="H9" s="167"/>
      <c r="I9" s="21" t="s">
        <v>16</v>
      </c>
      <c r="J9" s="166" t="s">
        <v>17</v>
      </c>
      <c r="K9" s="167"/>
      <c r="L9" s="21" t="s">
        <v>16</v>
      </c>
      <c r="M9" s="166" t="s">
        <v>18</v>
      </c>
      <c r="N9" s="167"/>
      <c r="O9" s="22" t="s">
        <v>16</v>
      </c>
      <c r="P9" s="167" t="s">
        <v>19</v>
      </c>
      <c r="Q9" s="167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>
      <c r="A10" s="160"/>
      <c r="B10" s="161"/>
      <c r="C10" s="164"/>
      <c r="D10" s="164"/>
      <c r="E10" s="165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68"/>
      <c r="Q10" s="168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>
      <c r="A11" s="137">
        <v>101</v>
      </c>
      <c r="B11" s="138"/>
      <c r="C11" s="139" t="s">
        <v>83</v>
      </c>
      <c r="D11" s="139"/>
      <c r="E11" s="140"/>
      <c r="F11" s="41">
        <v>60</v>
      </c>
      <c r="G11" s="42"/>
      <c r="H11" s="43"/>
      <c r="I11" s="44"/>
      <c r="J11" s="42"/>
      <c r="K11" s="43"/>
      <c r="L11" s="44"/>
      <c r="M11" s="42"/>
      <c r="N11" s="43"/>
      <c r="O11" s="44"/>
      <c r="P11" s="45">
        <f>G11+J11+M11</f>
        <v>0</v>
      </c>
      <c r="Q11" s="105">
        <f>P11+'26'!Q11</f>
        <v>1065.7</v>
      </c>
      <c r="R11" s="97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>
      <c r="A12" s="135"/>
      <c r="B12" s="136"/>
      <c r="C12" s="141" t="s">
        <v>84</v>
      </c>
      <c r="D12" s="141"/>
      <c r="E12" s="142"/>
      <c r="F12" s="47">
        <v>30</v>
      </c>
      <c r="G12" s="48"/>
      <c r="H12" s="48"/>
      <c r="I12" s="49"/>
      <c r="J12" s="48"/>
      <c r="K12" s="48"/>
      <c r="L12" s="49"/>
      <c r="M12" s="48"/>
      <c r="N12" s="48"/>
      <c r="O12" s="49"/>
      <c r="P12" s="50">
        <f t="shared" ref="P12:P32" si="0">G12+J12+M12</f>
        <v>0</v>
      </c>
      <c r="Q12" s="50">
        <f>P12+'26'!Q12</f>
        <v>583.50000000000011</v>
      </c>
      <c r="R12" s="99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>
      <c r="A13" s="130"/>
      <c r="B13" s="131"/>
      <c r="C13" s="143" t="s">
        <v>85</v>
      </c>
      <c r="D13" s="143"/>
      <c r="E13" s="144"/>
      <c r="F13" s="52">
        <v>30</v>
      </c>
      <c r="G13" s="53"/>
      <c r="H13" s="53"/>
      <c r="I13" s="54"/>
      <c r="J13" s="53"/>
      <c r="K13" s="53"/>
      <c r="L13" s="54"/>
      <c r="M13" s="53"/>
      <c r="N13" s="53"/>
      <c r="O13" s="54"/>
      <c r="P13" s="55">
        <f t="shared" si="0"/>
        <v>0</v>
      </c>
      <c r="Q13" s="55">
        <f>P13+'26'!Q13</f>
        <v>488.7</v>
      </c>
      <c r="R13" s="99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>
      <c r="A14" s="128">
        <v>102</v>
      </c>
      <c r="B14" s="145"/>
      <c r="C14" s="148" t="s">
        <v>86</v>
      </c>
      <c r="D14" s="149"/>
      <c r="E14" s="150"/>
      <c r="F14" s="56">
        <v>40</v>
      </c>
      <c r="G14" s="57">
        <v>6.4589999999999996</v>
      </c>
      <c r="H14" s="58"/>
      <c r="I14" s="59" t="s">
        <v>81</v>
      </c>
      <c r="J14" s="60">
        <v>6.3929999999999998</v>
      </c>
      <c r="K14" s="58"/>
      <c r="L14" s="59" t="s">
        <v>81</v>
      </c>
      <c r="M14" s="60">
        <v>6.5759999999999996</v>
      </c>
      <c r="N14" s="58"/>
      <c r="O14" s="59" t="s">
        <v>81</v>
      </c>
      <c r="P14" s="61">
        <f t="shared" si="0"/>
        <v>19.428000000000001</v>
      </c>
      <c r="Q14" s="61">
        <f>P14+'26'!Q14</f>
        <v>197.79500000000002</v>
      </c>
      <c r="R14" s="102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>
      <c r="A15" s="146"/>
      <c r="B15" s="147"/>
      <c r="C15" s="151" t="s">
        <v>87</v>
      </c>
      <c r="D15" s="152"/>
      <c r="E15" s="153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50">
        <f t="shared" si="0"/>
        <v>0</v>
      </c>
      <c r="Q15" s="50">
        <f>P15+'26'!Q15</f>
        <v>0</v>
      </c>
      <c r="R15" s="97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>
      <c r="A16" s="146"/>
      <c r="B16" s="147"/>
      <c r="C16" s="154" t="s">
        <v>88</v>
      </c>
      <c r="D16" s="155"/>
      <c r="E16" s="156"/>
      <c r="F16" s="47">
        <f>F14*(2/100)</f>
        <v>0.8</v>
      </c>
      <c r="G16" s="48">
        <v>0.90800000000000003</v>
      </c>
      <c r="H16" s="48"/>
      <c r="I16" s="49" t="s">
        <v>63</v>
      </c>
      <c r="J16" s="48">
        <v>0.89800000000000002</v>
      </c>
      <c r="K16" s="48"/>
      <c r="L16" s="49" t="s">
        <v>63</v>
      </c>
      <c r="M16" s="48">
        <v>0.92510000000000003</v>
      </c>
      <c r="N16" s="48"/>
      <c r="O16" s="49" t="s">
        <v>63</v>
      </c>
      <c r="P16" s="50">
        <f t="shared" si="0"/>
        <v>2.7311000000000001</v>
      </c>
      <c r="Q16" s="50">
        <f>P16+'26'!Q16</f>
        <v>18.434000000000001</v>
      </c>
      <c r="R16" s="99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>
      <c r="A17" s="146"/>
      <c r="B17" s="147"/>
      <c r="C17" s="122" t="s">
        <v>89</v>
      </c>
      <c r="D17" s="123"/>
      <c r="E17" s="124"/>
      <c r="F17" s="47">
        <f>F14*12/100</f>
        <v>4.8</v>
      </c>
      <c r="G17" s="48">
        <v>0</v>
      </c>
      <c r="H17" s="48"/>
      <c r="I17" s="49" t="s">
        <v>64</v>
      </c>
      <c r="J17" s="48">
        <v>0</v>
      </c>
      <c r="K17" s="48"/>
      <c r="L17" s="49" t="s">
        <v>64</v>
      </c>
      <c r="M17" s="48">
        <v>0</v>
      </c>
      <c r="N17" s="48"/>
      <c r="O17" s="49" t="s">
        <v>64</v>
      </c>
      <c r="P17" s="50">
        <f t="shared" si="0"/>
        <v>0</v>
      </c>
      <c r="Q17" s="50">
        <f>P17+'26'!Q17</f>
        <v>0.88</v>
      </c>
      <c r="R17" s="99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>
      <c r="A18" s="146"/>
      <c r="B18" s="147"/>
      <c r="C18" s="122" t="s">
        <v>90</v>
      </c>
      <c r="D18" s="123"/>
      <c r="E18" s="124"/>
      <c r="F18" s="47" t="s">
        <v>35</v>
      </c>
      <c r="G18" s="48">
        <v>4.2270000000000003</v>
      </c>
      <c r="H18" s="48"/>
      <c r="I18" s="49" t="s">
        <v>65</v>
      </c>
      <c r="J18" s="48">
        <v>4.1900000000000004</v>
      </c>
      <c r="K18" s="48"/>
      <c r="L18" s="49" t="s">
        <v>65</v>
      </c>
      <c r="M18" s="48">
        <v>4.3209999999999997</v>
      </c>
      <c r="N18" s="48"/>
      <c r="O18" s="49" t="s">
        <v>65</v>
      </c>
      <c r="P18" s="50">
        <f t="shared" si="0"/>
        <v>12.738000000000001</v>
      </c>
      <c r="Q18" s="50">
        <f>P18+'26'!Q18</f>
        <v>127.524</v>
      </c>
      <c r="R18" s="99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>
      <c r="A19" s="146"/>
      <c r="B19" s="147"/>
      <c r="C19" s="122" t="s">
        <v>91</v>
      </c>
      <c r="D19" s="123"/>
      <c r="E19" s="124"/>
      <c r="F19" s="47" t="s">
        <v>35</v>
      </c>
      <c r="G19" s="48"/>
      <c r="H19" s="48"/>
      <c r="I19" s="49"/>
      <c r="J19" s="48"/>
      <c r="K19" s="48"/>
      <c r="L19" s="49"/>
      <c r="M19" s="48"/>
      <c r="N19" s="48"/>
      <c r="O19" s="49"/>
      <c r="P19" s="50">
        <f t="shared" si="0"/>
        <v>0</v>
      </c>
      <c r="Q19" s="50">
        <f>P19+'26'!Q19</f>
        <v>34.469000000000001</v>
      </c>
      <c r="R19" s="99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>
      <c r="A20" s="146"/>
      <c r="B20" s="147"/>
      <c r="C20" s="122" t="s">
        <v>92</v>
      </c>
      <c r="D20" s="123"/>
      <c r="E20" s="124"/>
      <c r="F20" s="63" t="s">
        <v>35</v>
      </c>
      <c r="G20" s="48">
        <v>0</v>
      </c>
      <c r="H20" s="48"/>
      <c r="I20" s="49" t="s">
        <v>79</v>
      </c>
      <c r="J20" s="48">
        <v>0</v>
      </c>
      <c r="K20" s="48"/>
      <c r="L20" s="49" t="s">
        <v>79</v>
      </c>
      <c r="M20" s="48">
        <v>0</v>
      </c>
      <c r="N20" s="48"/>
      <c r="O20" s="49" t="s">
        <v>79</v>
      </c>
      <c r="P20" s="50">
        <f t="shared" si="0"/>
        <v>0</v>
      </c>
      <c r="Q20" s="50">
        <f>P20+'26'!Q20</f>
        <v>0.80600000000000005</v>
      </c>
      <c r="R20" s="99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>
      <c r="A21" s="130"/>
      <c r="B21" s="131"/>
      <c r="C21" s="132" t="s">
        <v>93</v>
      </c>
      <c r="D21" s="133"/>
      <c r="E21" s="134"/>
      <c r="F21" s="52">
        <f>F14*(0.5/100)</f>
        <v>0.2</v>
      </c>
      <c r="G21" s="53">
        <v>1.1961999999999999</v>
      </c>
      <c r="H21" s="53"/>
      <c r="I21" s="54" t="s">
        <v>66</v>
      </c>
      <c r="J21" s="53">
        <v>1.1739999999999999</v>
      </c>
      <c r="K21" s="53"/>
      <c r="L21" s="54" t="s">
        <v>66</v>
      </c>
      <c r="M21" s="53">
        <v>1.232</v>
      </c>
      <c r="N21" s="53"/>
      <c r="O21" s="54" t="s">
        <v>66</v>
      </c>
      <c r="P21" s="55">
        <f t="shared" si="0"/>
        <v>3.6021999999999998</v>
      </c>
      <c r="Q21" s="55">
        <f>P21+'26'!Q21</f>
        <v>14.612</v>
      </c>
      <c r="R21" s="99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>
      <c r="A22" s="128" t="s">
        <v>105</v>
      </c>
      <c r="B22" s="129"/>
      <c r="C22" s="119" t="s">
        <v>94</v>
      </c>
      <c r="D22" s="120"/>
      <c r="E22" s="121"/>
      <c r="F22" s="56">
        <v>24</v>
      </c>
      <c r="G22" s="60"/>
      <c r="H22" s="58"/>
      <c r="I22" s="65"/>
      <c r="J22" s="60"/>
      <c r="K22" s="58"/>
      <c r="L22" s="65"/>
      <c r="M22" s="60"/>
      <c r="N22" s="58"/>
      <c r="O22" s="65"/>
      <c r="P22" s="61">
        <f t="shared" si="0"/>
        <v>0</v>
      </c>
      <c r="Q22" s="61">
        <f>P22+'26'!Q22</f>
        <v>261.41299999999995</v>
      </c>
      <c r="R22" s="102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>
      <c r="A23" s="130"/>
      <c r="B23" s="131"/>
      <c r="C23" s="132" t="s">
        <v>95</v>
      </c>
      <c r="D23" s="133"/>
      <c r="E23" s="134"/>
      <c r="F23" s="52">
        <v>24</v>
      </c>
      <c r="G23" s="53"/>
      <c r="H23" s="53"/>
      <c r="I23" s="66"/>
      <c r="J23" s="53"/>
      <c r="K23" s="53"/>
      <c r="L23" s="66"/>
      <c r="M23" s="53"/>
      <c r="N23" s="53"/>
      <c r="O23" s="66"/>
      <c r="P23" s="55">
        <f t="shared" si="0"/>
        <v>0</v>
      </c>
      <c r="Q23" s="55">
        <f>P23+'26'!Q23</f>
        <v>257.92829999999998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>
      <c r="A24" s="128" t="s">
        <v>106</v>
      </c>
      <c r="B24" s="129"/>
      <c r="C24" s="119" t="s">
        <v>96</v>
      </c>
      <c r="D24" s="120"/>
      <c r="E24" s="121"/>
      <c r="F24" s="56">
        <v>24</v>
      </c>
      <c r="G24" s="60"/>
      <c r="H24" s="58"/>
      <c r="I24" s="59"/>
      <c r="J24" s="60"/>
      <c r="K24" s="58"/>
      <c r="L24" s="59"/>
      <c r="M24" s="60"/>
      <c r="N24" s="58"/>
      <c r="O24" s="59"/>
      <c r="P24" s="61">
        <f t="shared" si="0"/>
        <v>0</v>
      </c>
      <c r="Q24" s="61">
        <f>P24+'26'!Q24</f>
        <v>325.03199999999998</v>
      </c>
      <c r="R24" s="97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>
      <c r="A25" s="135"/>
      <c r="B25" s="136"/>
      <c r="C25" s="122" t="s">
        <v>46</v>
      </c>
      <c r="D25" s="123"/>
      <c r="E25" s="124"/>
      <c r="F25" s="47" t="s">
        <v>35</v>
      </c>
      <c r="G25" s="48"/>
      <c r="H25" s="48"/>
      <c r="I25" s="49"/>
      <c r="J25" s="48"/>
      <c r="K25" s="48"/>
      <c r="L25" s="49"/>
      <c r="M25" s="48"/>
      <c r="N25" s="48"/>
      <c r="O25" s="49"/>
      <c r="P25" s="50">
        <f t="shared" si="0"/>
        <v>0</v>
      </c>
      <c r="Q25" s="50">
        <f>P25+'26'!Q25</f>
        <v>7.5114999999999998</v>
      </c>
      <c r="R25" s="99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>
      <c r="A26" s="135"/>
      <c r="B26" s="136"/>
      <c r="C26" s="122" t="s">
        <v>97</v>
      </c>
      <c r="D26" s="123"/>
      <c r="E26" s="124"/>
      <c r="F26" s="47" t="s">
        <v>35</v>
      </c>
      <c r="G26" s="48"/>
      <c r="H26" s="48"/>
      <c r="I26" s="49"/>
      <c r="J26" s="48"/>
      <c r="K26" s="48"/>
      <c r="L26" s="49"/>
      <c r="M26" s="48"/>
      <c r="N26" s="48"/>
      <c r="O26" s="49"/>
      <c r="P26" s="50">
        <f t="shared" si="0"/>
        <v>0</v>
      </c>
      <c r="Q26" s="50">
        <f>P26+'26'!Q26</f>
        <v>305.67500000000001</v>
      </c>
      <c r="R26" s="99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>
      <c r="A27" s="135"/>
      <c r="B27" s="136"/>
      <c r="C27" s="122" t="s">
        <v>98</v>
      </c>
      <c r="D27" s="123"/>
      <c r="E27" s="124"/>
      <c r="F27" s="47" t="s">
        <v>35</v>
      </c>
      <c r="G27" s="48"/>
      <c r="H27" s="48"/>
      <c r="I27" s="49"/>
      <c r="J27" s="48"/>
      <c r="K27" s="48"/>
      <c r="L27" s="49"/>
      <c r="M27" s="48"/>
      <c r="N27" s="48"/>
      <c r="O27" s="49"/>
      <c r="P27" s="50">
        <f t="shared" si="0"/>
        <v>0</v>
      </c>
      <c r="Q27" s="50">
        <f>P27+'26'!Q27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>
      <c r="A28" s="130"/>
      <c r="B28" s="131"/>
      <c r="C28" s="132" t="s">
        <v>99</v>
      </c>
      <c r="D28" s="133"/>
      <c r="E28" s="134"/>
      <c r="F28" s="52" t="s">
        <v>35</v>
      </c>
      <c r="G28" s="53"/>
      <c r="H28" s="53"/>
      <c r="I28" s="54"/>
      <c r="J28" s="53"/>
      <c r="K28" s="53"/>
      <c r="L28" s="54"/>
      <c r="M28" s="53"/>
      <c r="N28" s="53"/>
      <c r="O28" s="54"/>
      <c r="P28" s="55">
        <f t="shared" si="0"/>
        <v>0</v>
      </c>
      <c r="Q28" s="55">
        <f>P28+'26'!Q28</f>
        <v>12.7234</v>
      </c>
      <c r="R28" s="97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>
      <c r="A29" s="113">
        <v>104</v>
      </c>
      <c r="B29" s="114"/>
      <c r="C29" s="119" t="s">
        <v>100</v>
      </c>
      <c r="D29" s="120"/>
      <c r="E29" s="121"/>
      <c r="F29" s="56"/>
      <c r="G29" s="60">
        <v>12.196999999999999</v>
      </c>
      <c r="H29" s="58"/>
      <c r="I29" s="59" t="s">
        <v>55</v>
      </c>
      <c r="J29" s="60"/>
      <c r="K29" s="58"/>
      <c r="L29" s="59"/>
      <c r="M29" s="60"/>
      <c r="N29" s="58"/>
      <c r="O29" s="59"/>
      <c r="P29" s="61">
        <f t="shared" si="0"/>
        <v>12.196999999999999</v>
      </c>
      <c r="Q29" s="61">
        <f>P29+'26'!Q29</f>
        <v>211.37700000000004</v>
      </c>
      <c r="R29" s="102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>
      <c r="A30" s="115"/>
      <c r="B30" s="116"/>
      <c r="C30" s="122" t="s">
        <v>102</v>
      </c>
      <c r="D30" s="123"/>
      <c r="E30" s="124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50">
        <f t="shared" si="0"/>
        <v>0</v>
      </c>
      <c r="Q30" s="50">
        <f>P30+'26'!Q30</f>
        <v>0</v>
      </c>
      <c r="R30" s="99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>
      <c r="A31" s="115"/>
      <c r="B31" s="116"/>
      <c r="C31" s="122" t="s">
        <v>101</v>
      </c>
      <c r="D31" s="123"/>
      <c r="E31" s="124"/>
      <c r="F31" s="47"/>
      <c r="G31" s="48">
        <v>2.4670000000000001</v>
      </c>
      <c r="H31" s="48"/>
      <c r="I31" s="49" t="s">
        <v>58</v>
      </c>
      <c r="J31" s="48"/>
      <c r="K31" s="48"/>
      <c r="L31" s="49"/>
      <c r="M31" s="48"/>
      <c r="N31" s="48"/>
      <c r="O31" s="49"/>
      <c r="P31" s="50">
        <f t="shared" si="0"/>
        <v>2.4670000000000001</v>
      </c>
      <c r="Q31" s="50">
        <f>P31+'26'!Q31</f>
        <v>42.012</v>
      </c>
      <c r="R31" s="99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>
      <c r="A32" s="115"/>
      <c r="B32" s="116"/>
      <c r="C32" s="122" t="s">
        <v>103</v>
      </c>
      <c r="D32" s="123"/>
      <c r="E32" s="124"/>
      <c r="F32" s="47"/>
      <c r="G32" s="48">
        <v>0.85460000000000003</v>
      </c>
      <c r="H32" s="48"/>
      <c r="I32" s="49" t="s">
        <v>76</v>
      </c>
      <c r="J32" s="48">
        <v>11.986000000000001</v>
      </c>
      <c r="K32" s="48"/>
      <c r="L32" s="49" t="s">
        <v>76</v>
      </c>
      <c r="M32" s="49"/>
      <c r="N32" s="48"/>
      <c r="O32" s="49"/>
      <c r="P32" s="50">
        <f t="shared" si="0"/>
        <v>12.8406</v>
      </c>
      <c r="Q32" s="50">
        <f>P32+'26'!Q32</f>
        <v>228.69192999999999</v>
      </c>
      <c r="R32" s="99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>
      <c r="A33" s="117"/>
      <c r="B33" s="118"/>
      <c r="C33" s="125" t="s">
        <v>104</v>
      </c>
      <c r="D33" s="126"/>
      <c r="E33" s="127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72">
        <f>G33+J33+M33</f>
        <v>0</v>
      </c>
      <c r="Q33" s="72">
        <f>P33+'26'!Q33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/>
    <row r="35" spans="1:26" ht="14.1" customHeight="1"/>
    <row r="36" spans="1:26" ht="14.1" customHeight="1"/>
    <row r="37" spans="1:26" ht="14.1" customHeight="1"/>
    <row r="38" spans="1:26" ht="14.1" customHeight="1"/>
    <row r="39" spans="1:26" ht="14.1" customHeight="1"/>
    <row r="40" spans="1:26" ht="14.1" customHeight="1"/>
    <row r="41" spans="1:26" ht="14.1" customHeight="1"/>
    <row r="42" spans="1:26" ht="14.1" customHeight="1"/>
    <row r="43" spans="1:26" ht="14.1" customHeight="1"/>
    <row r="44" spans="1:26" ht="14.1" customHeight="1"/>
    <row r="45" spans="1:26" ht="14.1" customHeight="1"/>
    <row r="46" spans="1:26" ht="14.1" customHeight="1"/>
    <row r="47" spans="1:26" ht="14.1" customHeight="1"/>
    <row r="48" spans="1:26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  <row r="58" ht="14.1" customHeight="1"/>
    <row r="59" ht="14.1" customHeight="1"/>
    <row r="60" ht="14.1" customHeight="1"/>
    <row r="61" ht="14.1" customHeight="1"/>
    <row r="62" ht="14.1" customHeight="1"/>
    <row r="63" ht="14.1" customHeight="1"/>
    <row r="64" ht="14.1" customHeight="1"/>
    <row r="65" ht="14.1" customHeight="1"/>
    <row r="66" ht="14.1" customHeight="1"/>
    <row r="67" ht="14.1" customHeight="1"/>
    <row r="68" ht="15" customHeight="1"/>
    <row r="69" ht="12.95" customHeight="1"/>
    <row r="70" ht="14.1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4.1" customHeight="1"/>
    <row r="122" ht="14.1" customHeight="1"/>
    <row r="123" ht="14.1" customHeight="1"/>
    <row r="124" ht="14.1" customHeight="1"/>
    <row r="125" ht="14.1" customHeight="1"/>
    <row r="126" ht="10.5" customHeight="1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26C6D657-9A98-42A4-A98B-3ACF47CDB41B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8673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4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5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6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9657E-C1A2-4357-A2E7-28E11FCE68C5}">
  <sheetPr codeName="Sheet31"/>
  <dimension ref="A1:Z126"/>
  <sheetViews>
    <sheetView showGridLines="0" zoomScale="85" zoomScaleNormal="85" zoomScaleSheetLayoutView="113" workbookViewId="0">
      <selection activeCell="A11" sqref="A11:E33"/>
    </sheetView>
  </sheetViews>
  <sheetFormatPr defaultColWidth="10.140625" defaultRowHeight="1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7.8554687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6" width="8.42578125" customWidth="1"/>
    <col min="17" max="17" width="9.7109375" customWidth="1"/>
    <col min="18" max="18" width="8.42578125" customWidth="1"/>
    <col min="27" max="16384" width="10.140625" style="9"/>
  </cols>
  <sheetData>
    <row r="1" spans="1:26" ht="15" customHeight="1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>
      <c r="A2" s="10"/>
      <c r="B2" s="10"/>
      <c r="C2" s="10"/>
      <c r="D2" s="10"/>
      <c r="E2" s="10"/>
      <c r="F2" s="10"/>
      <c r="G2" s="173"/>
      <c r="H2" s="173"/>
      <c r="I2" s="173"/>
      <c r="J2" s="173"/>
      <c r="K2" s="173"/>
      <c r="L2" s="173"/>
      <c r="M2" s="10"/>
      <c r="N2" s="11"/>
      <c r="O2" s="174"/>
      <c r="P2" s="174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>
      <c r="A3" s="10"/>
      <c r="B3" s="10"/>
      <c r="C3" s="10"/>
      <c r="D3" s="10"/>
      <c r="E3" s="10"/>
      <c r="F3" s="10"/>
      <c r="G3" s="173"/>
      <c r="H3" s="173"/>
      <c r="I3" s="173"/>
      <c r="J3" s="173"/>
      <c r="K3" s="173"/>
      <c r="L3" s="173"/>
      <c r="M3" s="10"/>
      <c r="N3" s="11"/>
      <c r="O3" s="174"/>
      <c r="P3" s="174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>
      <c r="A4" s="10"/>
      <c r="B4" s="10"/>
      <c r="C4" s="10"/>
      <c r="D4" s="10"/>
      <c r="E4" s="10"/>
      <c r="F4" s="10"/>
      <c r="G4" s="173"/>
      <c r="H4" s="173"/>
      <c r="I4" s="173"/>
      <c r="J4" s="173"/>
      <c r="K4" s="173"/>
      <c r="L4" s="173"/>
      <c r="M4" s="10"/>
      <c r="N4" s="11"/>
      <c r="O4" s="174"/>
      <c r="P4" s="174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>
      <c r="A5" s="169" t="s">
        <v>8</v>
      </c>
      <c r="B5" s="169"/>
      <c r="C5" s="16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>
      <c r="A6" s="169" t="s">
        <v>10</v>
      </c>
      <c r="B6" s="169"/>
      <c r="C6" s="169"/>
      <c r="D6" s="179">
        <f>'27'!D6+1</f>
        <v>46081</v>
      </c>
      <c r="E6" s="179"/>
      <c r="F6" s="28"/>
      <c r="G6" s="171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>
      <c r="A8" s="175" t="s">
        <v>11</v>
      </c>
      <c r="B8" s="175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9"/>
      <c r="T8" s="9"/>
      <c r="U8" s="9"/>
      <c r="V8" s="9"/>
      <c r="W8" s="9"/>
      <c r="X8" s="9"/>
      <c r="Y8" s="9"/>
      <c r="Z8" s="9"/>
    </row>
    <row r="9" spans="1:26" ht="24.95" customHeight="1">
      <c r="A9" s="158" t="s">
        <v>12</v>
      </c>
      <c r="B9" s="159"/>
      <c r="C9" s="162" t="s">
        <v>13</v>
      </c>
      <c r="D9" s="162"/>
      <c r="E9" s="163"/>
      <c r="F9" s="20" t="s">
        <v>14</v>
      </c>
      <c r="G9" s="166" t="s">
        <v>15</v>
      </c>
      <c r="H9" s="167"/>
      <c r="I9" s="21" t="s">
        <v>16</v>
      </c>
      <c r="J9" s="166" t="s">
        <v>17</v>
      </c>
      <c r="K9" s="167"/>
      <c r="L9" s="21" t="s">
        <v>16</v>
      </c>
      <c r="M9" s="166" t="s">
        <v>18</v>
      </c>
      <c r="N9" s="167"/>
      <c r="O9" s="22" t="s">
        <v>16</v>
      </c>
      <c r="P9" s="167" t="s">
        <v>19</v>
      </c>
      <c r="Q9" s="167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>
      <c r="A10" s="160"/>
      <c r="B10" s="161"/>
      <c r="C10" s="180"/>
      <c r="D10" s="180"/>
      <c r="E10" s="181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68"/>
      <c r="Q10" s="168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>
      <c r="A11" s="137">
        <v>101</v>
      </c>
      <c r="B11" s="138"/>
      <c r="C11" s="139" t="s">
        <v>83</v>
      </c>
      <c r="D11" s="139"/>
      <c r="E11" s="140"/>
      <c r="F11" s="41">
        <v>60</v>
      </c>
      <c r="G11" s="42"/>
      <c r="H11" s="43"/>
      <c r="I11" s="44"/>
      <c r="J11" s="42"/>
      <c r="K11" s="43"/>
      <c r="L11" s="44"/>
      <c r="M11" s="42"/>
      <c r="N11" s="43"/>
      <c r="O11" s="44"/>
      <c r="P11" s="45">
        <f>G11+J11+M11</f>
        <v>0</v>
      </c>
      <c r="Q11" s="105">
        <f>P11+'27'!Q11</f>
        <v>1065.7</v>
      </c>
      <c r="R11" s="97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>
      <c r="A12" s="135"/>
      <c r="B12" s="136"/>
      <c r="C12" s="141" t="s">
        <v>84</v>
      </c>
      <c r="D12" s="141"/>
      <c r="E12" s="142"/>
      <c r="F12" s="47">
        <v>30</v>
      </c>
      <c r="G12" s="48"/>
      <c r="H12" s="48"/>
      <c r="I12" s="49"/>
      <c r="J12" s="48"/>
      <c r="K12" s="48"/>
      <c r="L12" s="49"/>
      <c r="M12" s="48"/>
      <c r="N12" s="48"/>
      <c r="O12" s="49"/>
      <c r="P12" s="50">
        <f t="shared" ref="P12:P32" si="0">G12+J12+M12</f>
        <v>0</v>
      </c>
      <c r="Q12" s="50">
        <f>P12+'27'!Q12</f>
        <v>583.50000000000011</v>
      </c>
      <c r="R12" s="99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>
      <c r="A13" s="130"/>
      <c r="B13" s="131"/>
      <c r="C13" s="143" t="s">
        <v>85</v>
      </c>
      <c r="D13" s="143"/>
      <c r="E13" s="144"/>
      <c r="F13" s="52">
        <v>30</v>
      </c>
      <c r="G13" s="53"/>
      <c r="H13" s="53"/>
      <c r="I13" s="54"/>
      <c r="J13" s="53"/>
      <c r="K13" s="53"/>
      <c r="L13" s="54"/>
      <c r="M13" s="53"/>
      <c r="N13" s="53"/>
      <c r="O13" s="54"/>
      <c r="P13" s="55">
        <f t="shared" si="0"/>
        <v>0</v>
      </c>
      <c r="Q13" s="55">
        <f>P13+'27'!Q13</f>
        <v>488.7</v>
      </c>
      <c r="R13" s="99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>
      <c r="A14" s="128">
        <v>102</v>
      </c>
      <c r="B14" s="145"/>
      <c r="C14" s="148" t="s">
        <v>86</v>
      </c>
      <c r="D14" s="149"/>
      <c r="E14" s="150"/>
      <c r="F14" s="56">
        <v>40</v>
      </c>
      <c r="G14" s="57">
        <v>6.3369999999999997</v>
      </c>
      <c r="H14" s="58"/>
      <c r="I14" s="59" t="s">
        <v>81</v>
      </c>
      <c r="J14" s="60">
        <v>6.4569999999999999</v>
      </c>
      <c r="K14" s="58"/>
      <c r="L14" s="59" t="s">
        <v>81</v>
      </c>
      <c r="M14" s="60">
        <v>6.4779999999999998</v>
      </c>
      <c r="N14" s="58"/>
      <c r="O14" s="59" t="s">
        <v>81</v>
      </c>
      <c r="P14" s="61">
        <f t="shared" si="0"/>
        <v>19.271999999999998</v>
      </c>
      <c r="Q14" s="61">
        <f>P14+'27'!Q14</f>
        <v>217.06700000000001</v>
      </c>
      <c r="R14" s="102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>
      <c r="A15" s="146"/>
      <c r="B15" s="147"/>
      <c r="C15" s="151" t="s">
        <v>87</v>
      </c>
      <c r="D15" s="152"/>
      <c r="E15" s="153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50">
        <f t="shared" si="0"/>
        <v>0</v>
      </c>
      <c r="Q15" s="50">
        <f>P15+'27'!Q15</f>
        <v>0</v>
      </c>
      <c r="R15" s="97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>
      <c r="A16" s="146"/>
      <c r="B16" s="147"/>
      <c r="C16" s="154" t="s">
        <v>88</v>
      </c>
      <c r="D16" s="155"/>
      <c r="E16" s="156"/>
      <c r="F16" s="47">
        <f>F14*(2/100)</f>
        <v>0.8</v>
      </c>
      <c r="G16" s="48">
        <v>0.88700000000000001</v>
      </c>
      <c r="H16" s="48"/>
      <c r="I16" s="49" t="s">
        <v>63</v>
      </c>
      <c r="J16" s="48">
        <v>0.91</v>
      </c>
      <c r="K16" s="48"/>
      <c r="L16" s="49" t="s">
        <v>63</v>
      </c>
      <c r="M16" s="48">
        <v>0.9083</v>
      </c>
      <c r="N16" s="48"/>
      <c r="O16" s="49" t="s">
        <v>63</v>
      </c>
      <c r="P16" s="50">
        <f t="shared" si="0"/>
        <v>2.7053000000000003</v>
      </c>
      <c r="Q16" s="50">
        <f>P16+'27'!Q16</f>
        <v>21.139300000000002</v>
      </c>
      <c r="R16" s="99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>
      <c r="A17" s="146"/>
      <c r="B17" s="147"/>
      <c r="C17" s="122" t="s">
        <v>89</v>
      </c>
      <c r="D17" s="123"/>
      <c r="E17" s="124"/>
      <c r="F17" s="47">
        <f>F14*12/100</f>
        <v>4.8</v>
      </c>
      <c r="G17" s="48">
        <v>0</v>
      </c>
      <c r="H17" s="48"/>
      <c r="I17" s="49" t="s">
        <v>64</v>
      </c>
      <c r="J17" s="48">
        <v>0</v>
      </c>
      <c r="K17" s="48"/>
      <c r="L17" s="49" t="s">
        <v>64</v>
      </c>
      <c r="M17" s="48">
        <v>0</v>
      </c>
      <c r="N17" s="48"/>
      <c r="O17" s="49" t="s">
        <v>64</v>
      </c>
      <c r="P17" s="50">
        <f t="shared" si="0"/>
        <v>0</v>
      </c>
      <c r="Q17" s="50">
        <f>P17+'27'!Q17</f>
        <v>0.88</v>
      </c>
      <c r="R17" s="99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>
      <c r="A18" s="146"/>
      <c r="B18" s="147"/>
      <c r="C18" s="122" t="s">
        <v>90</v>
      </c>
      <c r="D18" s="123"/>
      <c r="E18" s="124"/>
      <c r="F18" s="47" t="s">
        <v>35</v>
      </c>
      <c r="G18" s="48">
        <v>4.1420000000000003</v>
      </c>
      <c r="H18" s="48"/>
      <c r="I18" s="49" t="s">
        <v>65</v>
      </c>
      <c r="J18" s="48">
        <v>4.194</v>
      </c>
      <c r="K18" s="48"/>
      <c r="L18" s="49" t="s">
        <v>65</v>
      </c>
      <c r="M18" s="48">
        <v>4.2430000000000003</v>
      </c>
      <c r="N18" s="48"/>
      <c r="O18" s="49" t="s">
        <v>65</v>
      </c>
      <c r="P18" s="50">
        <f t="shared" si="0"/>
        <v>12.579000000000001</v>
      </c>
      <c r="Q18" s="50">
        <f>P18+'27'!Q18</f>
        <v>140.10300000000001</v>
      </c>
      <c r="R18" s="99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>
      <c r="A19" s="146"/>
      <c r="B19" s="147"/>
      <c r="C19" s="122" t="s">
        <v>91</v>
      </c>
      <c r="D19" s="123"/>
      <c r="E19" s="124"/>
      <c r="F19" s="47" t="s">
        <v>35</v>
      </c>
      <c r="G19" s="48"/>
      <c r="H19" s="48"/>
      <c r="I19" s="49"/>
      <c r="J19" s="48"/>
      <c r="K19" s="48"/>
      <c r="L19" s="49"/>
      <c r="M19" s="48"/>
      <c r="N19" s="48"/>
      <c r="O19" s="49"/>
      <c r="P19" s="50">
        <f t="shared" si="0"/>
        <v>0</v>
      </c>
      <c r="Q19" s="50">
        <f>P19+'27'!Q19</f>
        <v>34.469000000000001</v>
      </c>
      <c r="R19" s="99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>
      <c r="A20" s="146"/>
      <c r="B20" s="147"/>
      <c r="C20" s="122" t="s">
        <v>92</v>
      </c>
      <c r="D20" s="123"/>
      <c r="E20" s="124"/>
      <c r="F20" s="63" t="s">
        <v>35</v>
      </c>
      <c r="G20" s="48">
        <v>0</v>
      </c>
      <c r="H20" s="48"/>
      <c r="I20" s="49" t="s">
        <v>79</v>
      </c>
      <c r="J20" s="48">
        <v>0</v>
      </c>
      <c r="K20" s="48"/>
      <c r="L20" s="49" t="s">
        <v>79</v>
      </c>
      <c r="M20" s="48">
        <v>0</v>
      </c>
      <c r="N20" s="48"/>
      <c r="O20" s="49" t="s">
        <v>79</v>
      </c>
      <c r="P20" s="50">
        <f t="shared" si="0"/>
        <v>0</v>
      </c>
      <c r="Q20" s="50">
        <f>P20+'27'!Q20</f>
        <v>0.80600000000000005</v>
      </c>
      <c r="R20" s="99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>
      <c r="A21" s="130"/>
      <c r="B21" s="131"/>
      <c r="C21" s="132" t="s">
        <v>93</v>
      </c>
      <c r="D21" s="133"/>
      <c r="E21" s="134"/>
      <c r="F21" s="52">
        <f>F14*(0.5/100)</f>
        <v>0.2</v>
      </c>
      <c r="G21" s="53">
        <v>1.3064</v>
      </c>
      <c r="H21" s="53"/>
      <c r="I21" s="54" t="s">
        <v>66</v>
      </c>
      <c r="J21" s="53">
        <v>1.111</v>
      </c>
      <c r="K21" s="53"/>
      <c r="L21" s="54" t="s">
        <v>66</v>
      </c>
      <c r="M21" s="53">
        <v>1.1000000000000001</v>
      </c>
      <c r="N21" s="53"/>
      <c r="O21" s="54" t="s">
        <v>66</v>
      </c>
      <c r="P21" s="55">
        <f t="shared" si="0"/>
        <v>3.5173999999999999</v>
      </c>
      <c r="Q21" s="55">
        <f>P21+'27'!Q21</f>
        <v>18.1294</v>
      </c>
      <c r="R21" s="99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>
      <c r="A22" s="128" t="s">
        <v>105</v>
      </c>
      <c r="B22" s="129"/>
      <c r="C22" s="119" t="s">
        <v>94</v>
      </c>
      <c r="D22" s="120"/>
      <c r="E22" s="121"/>
      <c r="F22" s="56">
        <v>24</v>
      </c>
      <c r="G22" s="60"/>
      <c r="H22" s="58"/>
      <c r="I22" s="65"/>
      <c r="J22" s="60"/>
      <c r="K22" s="58"/>
      <c r="L22" s="65"/>
      <c r="M22" s="60"/>
      <c r="N22" s="58"/>
      <c r="O22" s="65"/>
      <c r="P22" s="61">
        <f t="shared" si="0"/>
        <v>0</v>
      </c>
      <c r="Q22" s="61">
        <f>P22+'27'!Q22</f>
        <v>261.41299999999995</v>
      </c>
      <c r="R22" s="102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>
      <c r="A23" s="130"/>
      <c r="B23" s="131"/>
      <c r="C23" s="132" t="s">
        <v>95</v>
      </c>
      <c r="D23" s="133"/>
      <c r="E23" s="134"/>
      <c r="F23" s="52">
        <v>24</v>
      </c>
      <c r="G23" s="53"/>
      <c r="H23" s="53"/>
      <c r="I23" s="66"/>
      <c r="J23" s="53"/>
      <c r="K23" s="53"/>
      <c r="L23" s="66"/>
      <c r="M23" s="53"/>
      <c r="N23" s="53"/>
      <c r="O23" s="66"/>
      <c r="P23" s="55">
        <f t="shared" si="0"/>
        <v>0</v>
      </c>
      <c r="Q23" s="55">
        <f>P23+'27'!Q23</f>
        <v>257.92829999999998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>
      <c r="A24" s="128" t="s">
        <v>106</v>
      </c>
      <c r="B24" s="129"/>
      <c r="C24" s="119" t="s">
        <v>96</v>
      </c>
      <c r="D24" s="120"/>
      <c r="E24" s="121"/>
      <c r="F24" s="56">
        <v>24</v>
      </c>
      <c r="G24" s="60"/>
      <c r="H24" s="58"/>
      <c r="I24" s="59"/>
      <c r="J24" s="60"/>
      <c r="K24" s="58"/>
      <c r="L24" s="59"/>
      <c r="M24" s="60"/>
      <c r="N24" s="58"/>
      <c r="O24" s="59"/>
      <c r="P24" s="61">
        <f t="shared" si="0"/>
        <v>0</v>
      </c>
      <c r="Q24" s="61">
        <f>P24+'27'!Q24</f>
        <v>325.03199999999998</v>
      </c>
      <c r="R24" s="97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>
      <c r="A25" s="135"/>
      <c r="B25" s="136"/>
      <c r="C25" s="122" t="s">
        <v>46</v>
      </c>
      <c r="D25" s="123"/>
      <c r="E25" s="124"/>
      <c r="F25" s="47" t="s">
        <v>35</v>
      </c>
      <c r="G25" s="48"/>
      <c r="H25" s="48"/>
      <c r="I25" s="49"/>
      <c r="J25" s="48"/>
      <c r="K25" s="48"/>
      <c r="L25" s="49"/>
      <c r="M25" s="48"/>
      <c r="N25" s="48"/>
      <c r="O25" s="49"/>
      <c r="P25" s="50">
        <f t="shared" si="0"/>
        <v>0</v>
      </c>
      <c r="Q25" s="50">
        <f>P25+'27'!Q25</f>
        <v>7.5114999999999998</v>
      </c>
      <c r="R25" s="99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>
      <c r="A26" s="135"/>
      <c r="B26" s="136"/>
      <c r="C26" s="122" t="s">
        <v>97</v>
      </c>
      <c r="D26" s="123"/>
      <c r="E26" s="124"/>
      <c r="F26" s="47" t="s">
        <v>35</v>
      </c>
      <c r="G26" s="48"/>
      <c r="H26" s="48"/>
      <c r="I26" s="49"/>
      <c r="J26" s="48"/>
      <c r="K26" s="48"/>
      <c r="L26" s="49"/>
      <c r="M26" s="48"/>
      <c r="N26" s="48"/>
      <c r="O26" s="49"/>
      <c r="P26" s="50">
        <f t="shared" si="0"/>
        <v>0</v>
      </c>
      <c r="Q26" s="50">
        <f>P26+'27'!Q26</f>
        <v>305.67500000000001</v>
      </c>
      <c r="R26" s="99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>
      <c r="A27" s="135"/>
      <c r="B27" s="136"/>
      <c r="C27" s="122" t="s">
        <v>98</v>
      </c>
      <c r="D27" s="123"/>
      <c r="E27" s="124"/>
      <c r="F27" s="47" t="s">
        <v>35</v>
      </c>
      <c r="G27" s="48"/>
      <c r="H27" s="48"/>
      <c r="I27" s="49"/>
      <c r="J27" s="48"/>
      <c r="K27" s="48"/>
      <c r="L27" s="49"/>
      <c r="M27" s="48"/>
      <c r="N27" s="48"/>
      <c r="O27" s="49"/>
      <c r="P27" s="50">
        <f t="shared" si="0"/>
        <v>0</v>
      </c>
      <c r="Q27" s="50">
        <f>P27+'27'!Q27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>
      <c r="A28" s="130"/>
      <c r="B28" s="131"/>
      <c r="C28" s="132" t="s">
        <v>99</v>
      </c>
      <c r="D28" s="133"/>
      <c r="E28" s="134"/>
      <c r="F28" s="52" t="s">
        <v>35</v>
      </c>
      <c r="G28" s="53"/>
      <c r="H28" s="53"/>
      <c r="I28" s="54"/>
      <c r="J28" s="53"/>
      <c r="K28" s="53"/>
      <c r="L28" s="54"/>
      <c r="M28" s="53"/>
      <c r="N28" s="53"/>
      <c r="O28" s="54"/>
      <c r="P28" s="55">
        <f t="shared" si="0"/>
        <v>0</v>
      </c>
      <c r="Q28" s="55">
        <f>P28+'27'!Q28</f>
        <v>12.7234</v>
      </c>
      <c r="R28" s="97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>
      <c r="A29" s="113">
        <v>104</v>
      </c>
      <c r="B29" s="114"/>
      <c r="C29" s="119" t="s">
        <v>100</v>
      </c>
      <c r="D29" s="120"/>
      <c r="E29" s="121"/>
      <c r="F29" s="56"/>
      <c r="G29" s="60"/>
      <c r="H29" s="58"/>
      <c r="I29" s="59"/>
      <c r="J29" s="60">
        <v>12.423</v>
      </c>
      <c r="K29" s="58"/>
      <c r="L29" s="54" t="s">
        <v>55</v>
      </c>
      <c r="M29" s="60"/>
      <c r="N29" s="58"/>
      <c r="O29" s="59"/>
      <c r="P29" s="61">
        <f t="shared" si="0"/>
        <v>12.423</v>
      </c>
      <c r="Q29" s="61">
        <f>P29+'27'!Q29</f>
        <v>223.80000000000004</v>
      </c>
      <c r="R29" s="102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>
      <c r="A30" s="115"/>
      <c r="B30" s="116"/>
      <c r="C30" s="122" t="s">
        <v>102</v>
      </c>
      <c r="D30" s="123"/>
      <c r="E30" s="124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50">
        <f t="shared" si="0"/>
        <v>0</v>
      </c>
      <c r="Q30" s="50">
        <f>P30+'27'!Q30</f>
        <v>0</v>
      </c>
      <c r="R30" s="99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>
      <c r="A31" s="115"/>
      <c r="B31" s="116"/>
      <c r="C31" s="122" t="s">
        <v>101</v>
      </c>
      <c r="D31" s="123"/>
      <c r="E31" s="124"/>
      <c r="F31" s="47"/>
      <c r="G31" s="48"/>
      <c r="H31" s="48"/>
      <c r="I31" s="49"/>
      <c r="J31" s="48">
        <v>2.468</v>
      </c>
      <c r="K31" s="48"/>
      <c r="L31" s="54" t="s">
        <v>58</v>
      </c>
      <c r="M31" s="48"/>
      <c r="N31" s="48"/>
      <c r="O31" s="49"/>
      <c r="P31" s="50">
        <f t="shared" si="0"/>
        <v>2.468</v>
      </c>
      <c r="Q31" s="50">
        <f>P31+'27'!Q31</f>
        <v>44.480000000000004</v>
      </c>
      <c r="R31" s="99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>
      <c r="A32" s="115"/>
      <c r="B32" s="116"/>
      <c r="C32" s="122" t="s">
        <v>103</v>
      </c>
      <c r="D32" s="123"/>
      <c r="E32" s="124"/>
      <c r="F32" s="47"/>
      <c r="G32" s="48"/>
      <c r="H32" s="48"/>
      <c r="I32" s="49"/>
      <c r="J32" s="48"/>
      <c r="K32" s="48"/>
      <c r="L32" s="49"/>
      <c r="M32" s="49"/>
      <c r="N32" s="48"/>
      <c r="O32" s="49"/>
      <c r="P32" s="50">
        <f t="shared" si="0"/>
        <v>0</v>
      </c>
      <c r="Q32" s="50">
        <f>P32+'27'!Q32</f>
        <v>228.69192999999999</v>
      </c>
      <c r="R32" s="99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>
      <c r="A33" s="117"/>
      <c r="B33" s="118"/>
      <c r="C33" s="125" t="s">
        <v>104</v>
      </c>
      <c r="D33" s="126"/>
      <c r="E33" s="127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72">
        <f>G33+J33+M33</f>
        <v>0</v>
      </c>
      <c r="Q33" s="72">
        <f>P33+'27'!Q33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/>
    <row r="35" spans="1:26" ht="14.1" customHeight="1"/>
    <row r="36" spans="1:26" ht="14.1" customHeight="1"/>
    <row r="37" spans="1:26" ht="14.1" customHeight="1"/>
    <row r="38" spans="1:26" ht="14.1" customHeight="1"/>
    <row r="39" spans="1:26" ht="14.1" customHeight="1"/>
    <row r="40" spans="1:26" ht="14.1" customHeight="1"/>
    <row r="41" spans="1:26" ht="14.1" customHeight="1"/>
    <row r="42" spans="1:26" ht="14.1" customHeight="1"/>
    <row r="43" spans="1:26" ht="14.1" customHeight="1"/>
    <row r="44" spans="1:26" ht="14.1" customHeight="1"/>
    <row r="45" spans="1:26" ht="14.1" customHeight="1"/>
    <row r="46" spans="1:26" ht="14.1" customHeight="1"/>
    <row r="47" spans="1:26" ht="14.1" customHeight="1"/>
    <row r="48" spans="1:26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  <row r="58" ht="14.1" customHeight="1"/>
    <row r="59" ht="14.1" customHeight="1"/>
    <row r="60" ht="14.1" customHeight="1"/>
    <row r="61" ht="14.1" customHeight="1"/>
    <row r="62" ht="14.1" customHeight="1"/>
    <row r="63" ht="14.1" customHeight="1"/>
    <row r="64" ht="14.1" customHeight="1"/>
    <row r="65" ht="14.1" customHeight="1"/>
    <row r="66" ht="14.1" customHeight="1"/>
    <row r="67" ht="14.1" customHeight="1"/>
    <row r="68" ht="15" customHeight="1"/>
    <row r="69" ht="12.95" customHeight="1"/>
    <row r="70" ht="14.1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4.1" customHeight="1"/>
    <row r="122" ht="14.1" customHeight="1"/>
    <row r="123" ht="14.1" customHeight="1"/>
    <row r="124" ht="14.1" customHeight="1"/>
    <row r="125" ht="14.1" customHeight="1"/>
    <row r="126" ht="10.5" customHeight="1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92F5A832-2A5E-469F-9198-1AF2F60110D7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9697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171450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98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171450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99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171450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0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05A7D-198A-4E54-A588-6B7F02AE7645}">
  <sheetPr codeName="Sheet32"/>
  <dimension ref="A1:AH107"/>
  <sheetViews>
    <sheetView zoomScale="85" zoomScaleNormal="85" workbookViewId="0">
      <selection activeCell="T25" sqref="T25"/>
    </sheetView>
  </sheetViews>
  <sheetFormatPr defaultRowHeight="15.75"/>
  <cols>
    <col min="1" max="1" width="9.140625" style="1"/>
    <col min="2" max="2" width="4.85546875" style="1" customWidth="1"/>
    <col min="3" max="4" width="9.140625" style="1"/>
    <col min="5" max="5" width="16.28515625" style="1" customWidth="1"/>
    <col min="6" max="6" width="9.140625" style="1"/>
    <col min="7" max="33" width="9" style="1" customWidth="1"/>
    <col min="34" max="34" width="9" style="31" customWidth="1"/>
    <col min="35" max="16384" width="9.140625" style="1"/>
  </cols>
  <sheetData>
    <row r="1" spans="1:34" ht="19.5" thickBot="1">
      <c r="A1" s="206" t="s">
        <v>11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</row>
    <row r="2" spans="1:34">
      <c r="A2" s="207" t="s">
        <v>12</v>
      </c>
      <c r="B2" s="208"/>
      <c r="C2" s="211" t="s">
        <v>13</v>
      </c>
      <c r="D2" s="211"/>
      <c r="E2" s="211"/>
      <c r="F2" s="32" t="s">
        <v>14</v>
      </c>
      <c r="G2" s="213" t="s">
        <v>82</v>
      </c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4"/>
    </row>
    <row r="3" spans="1:34" ht="16.5" thickBot="1">
      <c r="A3" s="209"/>
      <c r="B3" s="210"/>
      <c r="C3" s="212"/>
      <c r="D3" s="212"/>
      <c r="E3" s="212"/>
      <c r="F3" s="33" t="s">
        <v>22</v>
      </c>
      <c r="G3" s="34">
        <v>1</v>
      </c>
      <c r="H3" s="34">
        <v>2</v>
      </c>
      <c r="I3" s="34">
        <v>3</v>
      </c>
      <c r="J3" s="34">
        <v>4</v>
      </c>
      <c r="K3" s="34">
        <v>5</v>
      </c>
      <c r="L3" s="34">
        <v>6</v>
      </c>
      <c r="M3" s="34">
        <v>7</v>
      </c>
      <c r="N3" s="34">
        <v>8</v>
      </c>
      <c r="O3" s="34">
        <v>9</v>
      </c>
      <c r="P3" s="34">
        <v>10</v>
      </c>
      <c r="Q3" s="34">
        <v>11</v>
      </c>
      <c r="R3" s="34">
        <v>12</v>
      </c>
      <c r="S3" s="34">
        <v>13</v>
      </c>
      <c r="T3" s="34">
        <v>14</v>
      </c>
      <c r="U3" s="34">
        <v>15</v>
      </c>
      <c r="V3" s="34">
        <v>16</v>
      </c>
      <c r="W3" s="34">
        <v>17</v>
      </c>
      <c r="X3" s="34">
        <v>18</v>
      </c>
      <c r="Y3" s="34">
        <v>19</v>
      </c>
      <c r="Z3" s="34">
        <v>20</v>
      </c>
      <c r="AA3" s="34">
        <v>21</v>
      </c>
      <c r="AB3" s="34">
        <v>22</v>
      </c>
      <c r="AC3" s="34">
        <v>23</v>
      </c>
      <c r="AD3" s="34">
        <v>24</v>
      </c>
      <c r="AE3" s="34">
        <v>25</v>
      </c>
      <c r="AF3" s="34">
        <v>26</v>
      </c>
      <c r="AG3" s="34">
        <v>27</v>
      </c>
      <c r="AH3" s="34">
        <v>28</v>
      </c>
    </row>
    <row r="4" spans="1:34" ht="16.5" thickTop="1">
      <c r="A4" s="215">
        <v>116</v>
      </c>
      <c r="B4" s="216"/>
      <c r="C4" s="217" t="s">
        <v>27</v>
      </c>
      <c r="D4" s="217"/>
      <c r="E4" s="217"/>
      <c r="F4" s="35">
        <v>60</v>
      </c>
      <c r="G4" s="1">
        <f>'01'!P11</f>
        <v>0</v>
      </c>
      <c r="H4" s="1">
        <f>'02'!P11</f>
        <v>0</v>
      </c>
      <c r="I4" s="1">
        <f>'03'!P11</f>
        <v>0</v>
      </c>
      <c r="J4" s="1">
        <f>'04'!P11</f>
        <v>52.7</v>
      </c>
      <c r="K4" s="1">
        <f>'05'!P11</f>
        <v>60.7</v>
      </c>
      <c r="L4" s="1">
        <f>'06'!P11</f>
        <v>60.5</v>
      </c>
      <c r="M4" s="1">
        <f>'07'!P11</f>
        <v>61.7</v>
      </c>
      <c r="N4" s="1">
        <f>'08'!P11</f>
        <v>60.4</v>
      </c>
      <c r="O4" s="1">
        <f>'09'!P11</f>
        <v>61.3</v>
      </c>
      <c r="P4" s="1">
        <f>'10'!P11</f>
        <v>62.199999999999996</v>
      </c>
      <c r="Q4" s="1">
        <f>'11'!P11</f>
        <v>61.300000000000004</v>
      </c>
      <c r="R4" s="1">
        <f>'12'!P11</f>
        <v>60.5</v>
      </c>
      <c r="S4" s="1">
        <f>'13'!P11</f>
        <v>61.2</v>
      </c>
      <c r="T4" s="1">
        <f>'14'!P11</f>
        <v>61.800000000000004</v>
      </c>
      <c r="U4" s="1">
        <f>'15'!P11</f>
        <v>61.2</v>
      </c>
      <c r="V4" s="1">
        <f>'16'!P11</f>
        <v>61.8</v>
      </c>
      <c r="W4" s="1">
        <f>'17'!P11</f>
        <v>64.599999999999994</v>
      </c>
      <c r="X4" s="1">
        <f>'18'!P11</f>
        <v>61.4</v>
      </c>
      <c r="Y4" s="1">
        <f>'19'!P11</f>
        <v>62.7</v>
      </c>
      <c r="Z4" s="1">
        <f>'20'!P11</f>
        <v>63.9</v>
      </c>
      <c r="AA4" s="1">
        <f>'21'!P11</f>
        <v>25.8</v>
      </c>
      <c r="AB4" s="1">
        <f>'22'!P11</f>
        <v>0</v>
      </c>
      <c r="AC4" s="1">
        <f>'23'!P11</f>
        <v>0</v>
      </c>
      <c r="AD4" s="1">
        <f>'24'!P11</f>
        <v>0</v>
      </c>
      <c r="AE4" s="1">
        <f>'25'!P11</f>
        <v>0</v>
      </c>
      <c r="AF4" s="1">
        <f>'26'!P11</f>
        <v>0</v>
      </c>
      <c r="AG4" s="1">
        <f>'27'!P11</f>
        <v>0</v>
      </c>
      <c r="AH4" s="31">
        <f>'28'!P11</f>
        <v>0</v>
      </c>
    </row>
    <row r="5" spans="1:34">
      <c r="A5" s="196"/>
      <c r="B5" s="197"/>
      <c r="C5" s="189" t="s">
        <v>28</v>
      </c>
      <c r="D5" s="189"/>
      <c r="E5" s="189"/>
      <c r="F5" s="36">
        <v>30</v>
      </c>
      <c r="G5" s="1">
        <f>'01'!P12</f>
        <v>0</v>
      </c>
      <c r="H5" s="1">
        <f>'02'!P12</f>
        <v>0</v>
      </c>
      <c r="I5" s="1">
        <f>'03'!P12</f>
        <v>0</v>
      </c>
      <c r="J5" s="1">
        <f>'04'!P12</f>
        <v>11.2</v>
      </c>
      <c r="K5" s="1">
        <f>'05'!P12</f>
        <v>32.5</v>
      </c>
      <c r="L5" s="1">
        <f>'06'!P12</f>
        <v>34</v>
      </c>
      <c r="M5" s="1">
        <f>'07'!P12</f>
        <v>34.1</v>
      </c>
      <c r="N5" s="1">
        <f>'08'!P12</f>
        <v>34.200000000000003</v>
      </c>
      <c r="O5" s="1">
        <f>'09'!P12</f>
        <v>34.9</v>
      </c>
      <c r="P5" s="1">
        <f>'10'!P12</f>
        <v>34.200000000000003</v>
      </c>
      <c r="Q5" s="1">
        <f>'11'!P12</f>
        <v>34.1</v>
      </c>
      <c r="R5" s="1">
        <f>'12'!P12</f>
        <v>34</v>
      </c>
      <c r="S5" s="1">
        <f>'13'!P12</f>
        <v>33.700000000000003</v>
      </c>
      <c r="T5" s="1">
        <f>'14'!P12</f>
        <v>32.200000000000003</v>
      </c>
      <c r="U5" s="1">
        <f>'15'!P12</f>
        <v>32.700000000000003</v>
      </c>
      <c r="V5" s="1">
        <f>'16'!P12</f>
        <v>32.299999999999997</v>
      </c>
      <c r="W5" s="1">
        <f>'17'!P12</f>
        <v>35.1</v>
      </c>
      <c r="X5" s="1">
        <f>'18'!P12</f>
        <v>31.699999999999996</v>
      </c>
      <c r="Y5" s="1">
        <f>'19'!P12</f>
        <v>32.4</v>
      </c>
      <c r="Z5" s="1">
        <f>'20'!P12</f>
        <v>36.699999999999996</v>
      </c>
      <c r="AA5" s="1">
        <f>'21'!P12</f>
        <v>33.5</v>
      </c>
      <c r="AB5" s="1">
        <f>'22'!P12</f>
        <v>0</v>
      </c>
      <c r="AC5" s="1">
        <f>'23'!P12</f>
        <v>0</v>
      </c>
      <c r="AD5" s="1">
        <f>'24'!P12</f>
        <v>0</v>
      </c>
      <c r="AE5" s="1">
        <f>'25'!P12</f>
        <v>0</v>
      </c>
      <c r="AF5" s="1">
        <f>'26'!P12</f>
        <v>0</v>
      </c>
      <c r="AG5" s="1">
        <f>'27'!P12</f>
        <v>0</v>
      </c>
      <c r="AH5" s="31">
        <f>'28'!P12</f>
        <v>0</v>
      </c>
    </row>
    <row r="6" spans="1:34">
      <c r="A6" s="193"/>
      <c r="B6" s="194"/>
      <c r="C6" s="195" t="s">
        <v>29</v>
      </c>
      <c r="D6" s="195"/>
      <c r="E6" s="195"/>
      <c r="F6" s="37">
        <v>30</v>
      </c>
      <c r="G6" s="1">
        <f>'01'!P13</f>
        <v>0</v>
      </c>
      <c r="H6" s="1">
        <f>'02'!P13</f>
        <v>0</v>
      </c>
      <c r="I6" s="1">
        <f>'03'!P13</f>
        <v>0</v>
      </c>
      <c r="J6" s="1">
        <f>'04'!P13</f>
        <v>0</v>
      </c>
      <c r="K6" s="1">
        <f>'05'!P13</f>
        <v>29.7</v>
      </c>
      <c r="L6" s="1">
        <f>'06'!P13</f>
        <v>27.099999999999998</v>
      </c>
      <c r="M6" s="1">
        <f>'07'!P13</f>
        <v>27.5</v>
      </c>
      <c r="N6" s="1">
        <f>'08'!P13</f>
        <v>27.700000000000003</v>
      </c>
      <c r="O6" s="1">
        <f>'09'!P13</f>
        <v>28.900000000000002</v>
      </c>
      <c r="P6" s="1">
        <f>'10'!P13</f>
        <v>26.099999999999998</v>
      </c>
      <c r="Q6" s="1">
        <f>'11'!P13</f>
        <v>26.3</v>
      </c>
      <c r="R6" s="1">
        <f>'12'!P13</f>
        <v>26.000000000000004</v>
      </c>
      <c r="S6" s="1">
        <f>'13'!P13</f>
        <v>30.2</v>
      </c>
      <c r="T6" s="1">
        <f>'14'!P13</f>
        <v>29</v>
      </c>
      <c r="U6" s="1">
        <f>'15'!P13</f>
        <v>25.5</v>
      </c>
      <c r="V6" s="1">
        <f>'16'!P13</f>
        <v>29.800000000000004</v>
      </c>
      <c r="W6" s="1">
        <f>'17'!P13</f>
        <v>28.700000000000003</v>
      </c>
      <c r="X6" s="1">
        <f>'18'!P13</f>
        <v>29.2</v>
      </c>
      <c r="Y6" s="1">
        <f>'19'!P13</f>
        <v>28.7</v>
      </c>
      <c r="Z6" s="1">
        <f>'20'!P13</f>
        <v>31.5</v>
      </c>
      <c r="AA6" s="1">
        <f>'21'!P13</f>
        <v>36.799999999999997</v>
      </c>
      <c r="AB6" s="1">
        <f>'22'!P13</f>
        <v>0</v>
      </c>
      <c r="AC6" s="1">
        <f>'23'!P13</f>
        <v>0</v>
      </c>
      <c r="AD6" s="1">
        <f>'24'!P13</f>
        <v>0</v>
      </c>
      <c r="AE6" s="1">
        <f>'25'!P13</f>
        <v>0</v>
      </c>
      <c r="AF6" s="1">
        <f>'26'!P13</f>
        <v>0</v>
      </c>
      <c r="AG6" s="1">
        <f>'27'!P13</f>
        <v>0</v>
      </c>
      <c r="AH6" s="31">
        <f>'28'!P13</f>
        <v>0</v>
      </c>
    </row>
    <row r="7" spans="1:34">
      <c r="A7" s="191">
        <v>106</v>
      </c>
      <c r="B7" s="192"/>
      <c r="C7" s="188" t="s">
        <v>30</v>
      </c>
      <c r="D7" s="188"/>
      <c r="E7" s="188"/>
      <c r="F7" s="38">
        <v>40</v>
      </c>
      <c r="G7" s="1">
        <f>'01'!P14</f>
        <v>0</v>
      </c>
      <c r="H7" s="1">
        <f>'02'!P14</f>
        <v>37.71</v>
      </c>
      <c r="I7" s="1">
        <f>'03'!P14</f>
        <v>39.521999999999998</v>
      </c>
      <c r="J7" s="1">
        <f>'04'!P14</f>
        <v>39.427</v>
      </c>
      <c r="K7" s="1">
        <f>'05'!P14</f>
        <v>15.437000000000001</v>
      </c>
      <c r="L7" s="1">
        <f>'06'!P14</f>
        <v>22.024999999999999</v>
      </c>
      <c r="M7" s="1">
        <f>'07'!P14</f>
        <v>4.7729999999999997</v>
      </c>
      <c r="N7" s="1">
        <f>'08'!P14</f>
        <v>0</v>
      </c>
      <c r="O7" s="1">
        <f>'09'!P14</f>
        <v>0</v>
      </c>
      <c r="P7" s="1">
        <f>'10'!P14</f>
        <v>0</v>
      </c>
      <c r="Q7" s="1">
        <f>'11'!P14</f>
        <v>0</v>
      </c>
      <c r="R7" s="1">
        <f>'12'!P14</f>
        <v>0</v>
      </c>
      <c r="S7" s="1">
        <f>'13'!P14</f>
        <v>0</v>
      </c>
      <c r="T7" s="1">
        <f>'14'!P14</f>
        <v>0</v>
      </c>
      <c r="U7" s="1">
        <f>'15'!P14</f>
        <v>0</v>
      </c>
      <c r="V7" s="1">
        <f>'16'!P14</f>
        <v>0</v>
      </c>
      <c r="W7" s="1">
        <f>'17'!P14</f>
        <v>0</v>
      </c>
      <c r="X7" s="1">
        <f>'18'!P14</f>
        <v>0</v>
      </c>
      <c r="Y7" s="1">
        <f>'19'!P14</f>
        <v>0</v>
      </c>
      <c r="Z7" s="1">
        <f>'20'!P14</f>
        <v>0</v>
      </c>
      <c r="AA7" s="1">
        <f>'21'!P14</f>
        <v>0</v>
      </c>
      <c r="AB7" s="1">
        <f>'22'!P14</f>
        <v>0</v>
      </c>
      <c r="AC7" s="1">
        <f>'23'!P14</f>
        <v>0</v>
      </c>
      <c r="AD7" s="1">
        <f>'24'!P14</f>
        <v>0</v>
      </c>
      <c r="AE7" s="1">
        <f>'25'!P14</f>
        <v>0.23799999999999999</v>
      </c>
      <c r="AF7" s="1">
        <f>'26'!P14</f>
        <v>19.234999999999999</v>
      </c>
      <c r="AG7" s="1">
        <f>'27'!P14</f>
        <v>19.428000000000001</v>
      </c>
      <c r="AH7" s="31">
        <f>'28'!P14</f>
        <v>19.271999999999998</v>
      </c>
    </row>
    <row r="8" spans="1:34">
      <c r="A8" s="201"/>
      <c r="B8" s="202"/>
      <c r="C8" s="189" t="s">
        <v>31</v>
      </c>
      <c r="D8" s="189"/>
      <c r="E8" s="189"/>
      <c r="F8" s="36">
        <v>40</v>
      </c>
      <c r="G8" s="1">
        <f>'01'!P15</f>
        <v>0</v>
      </c>
      <c r="H8" s="1">
        <f>'02'!P15</f>
        <v>0</v>
      </c>
      <c r="I8" s="1">
        <f>'03'!P15</f>
        <v>0</v>
      </c>
      <c r="J8" s="1">
        <f>'04'!P15</f>
        <v>0</v>
      </c>
      <c r="K8" s="1">
        <f>'05'!P15</f>
        <v>0</v>
      </c>
      <c r="L8" s="1">
        <f>'06'!P15</f>
        <v>0</v>
      </c>
      <c r="M8" s="1">
        <f>'07'!P15</f>
        <v>0</v>
      </c>
      <c r="N8" s="1">
        <f>'08'!P15</f>
        <v>0</v>
      </c>
      <c r="O8" s="1">
        <f>'09'!P15</f>
        <v>0</v>
      </c>
      <c r="P8" s="1">
        <f>'10'!P15</f>
        <v>0</v>
      </c>
      <c r="Q8" s="1">
        <f>'11'!P15</f>
        <v>0</v>
      </c>
      <c r="R8" s="1">
        <f>'12'!P15</f>
        <v>0</v>
      </c>
      <c r="S8" s="1">
        <f>'13'!P15</f>
        <v>0</v>
      </c>
      <c r="T8" s="1">
        <f>'14'!P15</f>
        <v>0</v>
      </c>
      <c r="U8" s="1">
        <f>'15'!P15</f>
        <v>0</v>
      </c>
      <c r="V8" s="1">
        <f>'16'!P15</f>
        <v>0</v>
      </c>
      <c r="W8" s="1">
        <f>'17'!P15</f>
        <v>0</v>
      </c>
      <c r="X8" s="1">
        <f>'18'!P15</f>
        <v>0</v>
      </c>
      <c r="Y8" s="1">
        <f>'19'!P15</f>
        <v>0</v>
      </c>
      <c r="Z8" s="1">
        <f>'20'!P15</f>
        <v>0</v>
      </c>
      <c r="AA8" s="1">
        <f>'21'!P15</f>
        <v>0</v>
      </c>
      <c r="AB8" s="1">
        <f>'22'!P15</f>
        <v>0</v>
      </c>
      <c r="AC8" s="1">
        <f>'23'!P15</f>
        <v>0</v>
      </c>
      <c r="AD8" s="1">
        <f>'24'!P15</f>
        <v>0</v>
      </c>
      <c r="AE8" s="1">
        <f>'25'!P15</f>
        <v>0</v>
      </c>
      <c r="AF8" s="1">
        <f>'26'!P15</f>
        <v>0</v>
      </c>
      <c r="AG8" s="1">
        <f>'27'!P15</f>
        <v>0</v>
      </c>
      <c r="AH8" s="31">
        <f>'28'!P15</f>
        <v>0</v>
      </c>
    </row>
    <row r="9" spans="1:34">
      <c r="A9" s="201"/>
      <c r="B9" s="202"/>
      <c r="C9" s="189" t="s">
        <v>32</v>
      </c>
      <c r="D9" s="189"/>
      <c r="E9" s="189"/>
      <c r="F9" s="36">
        <f>F7*(2/100)</f>
        <v>0.8</v>
      </c>
      <c r="G9" s="1">
        <f>'01'!P16</f>
        <v>0</v>
      </c>
      <c r="H9" s="1">
        <f>'02'!P16</f>
        <v>1.9312999999999998</v>
      </c>
      <c r="I9" s="1">
        <f>'03'!P16</f>
        <v>3.0895999999999999</v>
      </c>
      <c r="J9" s="1">
        <f>'04'!P16</f>
        <v>3.4182999999999999</v>
      </c>
      <c r="K9" s="1">
        <f>'05'!P16</f>
        <v>1.6560999999999999</v>
      </c>
      <c r="L9" s="1">
        <f>'06'!P16</f>
        <v>2.21</v>
      </c>
      <c r="M9" s="1">
        <f>'07'!P16</f>
        <v>0.57340000000000002</v>
      </c>
      <c r="N9" s="1">
        <f>'08'!P16</f>
        <v>0</v>
      </c>
      <c r="O9" s="1">
        <f>'09'!P16</f>
        <v>0</v>
      </c>
      <c r="P9" s="1">
        <f>'10'!P16</f>
        <v>0</v>
      </c>
      <c r="Q9" s="1">
        <f>'11'!P16</f>
        <v>0</v>
      </c>
      <c r="R9" s="1">
        <f>'12'!P16</f>
        <v>0</v>
      </c>
      <c r="S9" s="1">
        <f>'13'!P16</f>
        <v>0</v>
      </c>
      <c r="T9" s="1">
        <f>'14'!P16</f>
        <v>0</v>
      </c>
      <c r="U9" s="1">
        <f>'15'!P16</f>
        <v>0</v>
      </c>
      <c r="V9" s="1">
        <f>'16'!P16</f>
        <v>0</v>
      </c>
      <c r="W9" s="1">
        <f>'17'!P16</f>
        <v>0</v>
      </c>
      <c r="X9" s="1">
        <f>'18'!P16</f>
        <v>0</v>
      </c>
      <c r="Y9" s="1">
        <f>'19'!P16</f>
        <v>0</v>
      </c>
      <c r="Z9" s="1">
        <f>'20'!P16</f>
        <v>0</v>
      </c>
      <c r="AA9" s="1">
        <f>'21'!P16</f>
        <v>0</v>
      </c>
      <c r="AB9" s="1">
        <f>'22'!P16</f>
        <v>0</v>
      </c>
      <c r="AC9" s="1">
        <f>'23'!P16</f>
        <v>0</v>
      </c>
      <c r="AD9" s="1">
        <f>'24'!P16</f>
        <v>0</v>
      </c>
      <c r="AE9" s="1">
        <f>'25'!P16</f>
        <v>3.5499999999999997E-2</v>
      </c>
      <c r="AF9" s="1">
        <f>'26'!P16</f>
        <v>2.7887</v>
      </c>
      <c r="AG9" s="1">
        <f>'27'!P16</f>
        <v>2.7311000000000001</v>
      </c>
      <c r="AH9" s="31">
        <f>'28'!P16</f>
        <v>2.7053000000000003</v>
      </c>
    </row>
    <row r="10" spans="1:34">
      <c r="A10" s="201"/>
      <c r="B10" s="202"/>
      <c r="C10" s="189" t="s">
        <v>33</v>
      </c>
      <c r="D10" s="189"/>
      <c r="E10" s="189"/>
      <c r="F10" s="36">
        <f>F7*12/100</f>
        <v>4.8</v>
      </c>
      <c r="G10" s="1">
        <f>'01'!P17</f>
        <v>0</v>
      </c>
      <c r="H10" s="1">
        <f>'02'!P17</f>
        <v>0.22700000000000001</v>
      </c>
      <c r="I10" s="1">
        <f>'03'!P17</f>
        <v>0</v>
      </c>
      <c r="J10" s="1">
        <f>'04'!P17</f>
        <v>0</v>
      </c>
      <c r="K10" s="1">
        <f>'05'!P17</f>
        <v>0</v>
      </c>
      <c r="L10" s="1">
        <f>'06'!P17</f>
        <v>0</v>
      </c>
      <c r="M10" s="1">
        <f>'07'!P17</f>
        <v>0</v>
      </c>
      <c r="N10" s="1">
        <f>'08'!P17</f>
        <v>0</v>
      </c>
      <c r="O10" s="1">
        <f>'09'!P17</f>
        <v>0</v>
      </c>
      <c r="P10" s="1">
        <f>'10'!P17</f>
        <v>0</v>
      </c>
      <c r="Q10" s="1">
        <f>'11'!P17</f>
        <v>0</v>
      </c>
      <c r="R10" s="1">
        <f>'12'!P17</f>
        <v>0</v>
      </c>
      <c r="S10" s="1">
        <f>'13'!P17</f>
        <v>0</v>
      </c>
      <c r="T10" s="1">
        <f>'14'!P17</f>
        <v>0</v>
      </c>
      <c r="U10" s="1">
        <f>'15'!P17</f>
        <v>0</v>
      </c>
      <c r="V10" s="1">
        <f>'16'!P17</f>
        <v>0</v>
      </c>
      <c r="W10" s="1">
        <f>'17'!P17</f>
        <v>0</v>
      </c>
      <c r="X10" s="1">
        <f>'18'!P17</f>
        <v>0</v>
      </c>
      <c r="Y10" s="1">
        <f>'19'!P17</f>
        <v>0</v>
      </c>
      <c r="Z10" s="1">
        <f>'20'!P17</f>
        <v>0</v>
      </c>
      <c r="AA10" s="1">
        <f>'21'!P17</f>
        <v>0</v>
      </c>
      <c r="AB10" s="1">
        <f>'22'!P17</f>
        <v>0</v>
      </c>
      <c r="AC10" s="1">
        <f>'23'!P17</f>
        <v>0</v>
      </c>
      <c r="AD10" s="1">
        <f>'24'!P17</f>
        <v>0</v>
      </c>
      <c r="AE10" s="1">
        <f>'25'!P17</f>
        <v>5.1999999999999998E-2</v>
      </c>
      <c r="AF10" s="1">
        <f>'26'!P17</f>
        <v>0.60099999999999998</v>
      </c>
      <c r="AG10" s="1">
        <f>'27'!P17</f>
        <v>0</v>
      </c>
      <c r="AH10" s="31">
        <f>'28'!P17</f>
        <v>0</v>
      </c>
    </row>
    <row r="11" spans="1:34">
      <c r="A11" s="201"/>
      <c r="B11" s="202"/>
      <c r="C11" s="189" t="s">
        <v>34</v>
      </c>
      <c r="D11" s="189"/>
      <c r="E11" s="189"/>
      <c r="F11" s="36" t="s">
        <v>35</v>
      </c>
      <c r="G11" s="1">
        <f>'01'!P18</f>
        <v>0</v>
      </c>
      <c r="H11" s="1">
        <f>'02'!P18</f>
        <v>33.089999999999996</v>
      </c>
      <c r="I11" s="1">
        <f>'03'!P18</f>
        <v>35.149000000000001</v>
      </c>
      <c r="J11" s="1">
        <f>'04'!P18</f>
        <v>34.492999999999995</v>
      </c>
      <c r="K11" s="1">
        <f>'05'!P18</f>
        <v>0</v>
      </c>
      <c r="L11" s="1">
        <f>'06'!P18</f>
        <v>0</v>
      </c>
      <c r="M11" s="1">
        <f>'07'!P18</f>
        <v>0</v>
      </c>
      <c r="N11" s="1">
        <f>'08'!P18</f>
        <v>0</v>
      </c>
      <c r="O11" s="1">
        <f>'09'!P18</f>
        <v>0</v>
      </c>
      <c r="P11" s="1">
        <f>'10'!P18</f>
        <v>0</v>
      </c>
      <c r="Q11" s="1">
        <f>'11'!P18</f>
        <v>0</v>
      </c>
      <c r="R11" s="1">
        <f>'12'!P18</f>
        <v>0</v>
      </c>
      <c r="S11" s="1">
        <f>'13'!P18</f>
        <v>0</v>
      </c>
      <c r="T11" s="1">
        <f>'14'!P18</f>
        <v>0</v>
      </c>
      <c r="U11" s="1">
        <f>'15'!P18</f>
        <v>0</v>
      </c>
      <c r="V11" s="1">
        <f>'16'!P18</f>
        <v>0</v>
      </c>
      <c r="W11" s="1">
        <f>'17'!P18</f>
        <v>0</v>
      </c>
      <c r="X11" s="1">
        <f>'18'!P18</f>
        <v>0</v>
      </c>
      <c r="Y11" s="1">
        <f>'19'!P18</f>
        <v>0</v>
      </c>
      <c r="Z11" s="1">
        <f>'20'!P18</f>
        <v>0</v>
      </c>
      <c r="AA11" s="1">
        <f>'21'!P18</f>
        <v>0</v>
      </c>
      <c r="AB11" s="1">
        <f>'22'!P18</f>
        <v>0</v>
      </c>
      <c r="AC11" s="1">
        <f>'23'!P18</f>
        <v>0</v>
      </c>
      <c r="AD11" s="1">
        <f>'24'!P18</f>
        <v>0</v>
      </c>
      <c r="AE11" s="1">
        <f>'25'!P18</f>
        <v>0.18</v>
      </c>
      <c r="AF11" s="1">
        <f>'26'!P18</f>
        <v>11.873999999999999</v>
      </c>
      <c r="AG11" s="1">
        <f>'27'!P18</f>
        <v>12.738000000000001</v>
      </c>
      <c r="AH11" s="31">
        <f>'28'!P18</f>
        <v>12.579000000000001</v>
      </c>
    </row>
    <row r="12" spans="1:34">
      <c r="A12" s="201"/>
      <c r="B12" s="202"/>
      <c r="C12" s="189" t="s">
        <v>36</v>
      </c>
      <c r="D12" s="189"/>
      <c r="E12" s="189"/>
      <c r="F12" s="36" t="s">
        <v>35</v>
      </c>
      <c r="G12" s="1">
        <f>'01'!P19</f>
        <v>0</v>
      </c>
      <c r="H12" s="1">
        <f>'02'!P19</f>
        <v>0</v>
      </c>
      <c r="I12" s="1">
        <f>'03'!P19</f>
        <v>0</v>
      </c>
      <c r="J12" s="1">
        <f>'04'!P19</f>
        <v>0</v>
      </c>
      <c r="K12" s="1">
        <f>'05'!P19</f>
        <v>13.713000000000001</v>
      </c>
      <c r="L12" s="1">
        <f>'06'!P19</f>
        <v>16.463000000000001</v>
      </c>
      <c r="M12" s="1">
        <f>'07'!P19</f>
        <v>4.2930000000000001</v>
      </c>
      <c r="N12" s="1">
        <f>'08'!P19</f>
        <v>0</v>
      </c>
      <c r="O12" s="1">
        <f>'09'!P19</f>
        <v>0</v>
      </c>
      <c r="P12" s="1">
        <f>'10'!P19</f>
        <v>0</v>
      </c>
      <c r="Q12" s="1">
        <f>'11'!P19</f>
        <v>0</v>
      </c>
      <c r="R12" s="1">
        <f>'12'!P19</f>
        <v>0</v>
      </c>
      <c r="S12" s="1">
        <f>'13'!P19</f>
        <v>0</v>
      </c>
      <c r="T12" s="1">
        <f>'14'!P19</f>
        <v>0</v>
      </c>
      <c r="U12" s="1">
        <f>'15'!P19</f>
        <v>0</v>
      </c>
      <c r="V12" s="1">
        <f>'16'!P19</f>
        <v>0</v>
      </c>
      <c r="W12" s="1">
        <f>'17'!P19</f>
        <v>0</v>
      </c>
      <c r="X12" s="1">
        <f>'18'!P19</f>
        <v>0</v>
      </c>
      <c r="Y12" s="1">
        <f>'19'!P19</f>
        <v>0</v>
      </c>
      <c r="Z12" s="1">
        <f>'20'!P19</f>
        <v>0</v>
      </c>
      <c r="AA12" s="1">
        <f>'21'!P19</f>
        <v>0</v>
      </c>
      <c r="AB12" s="1">
        <f>'22'!P19</f>
        <v>0</v>
      </c>
      <c r="AC12" s="1">
        <f>'23'!P19</f>
        <v>0</v>
      </c>
      <c r="AD12" s="1">
        <f>'24'!P19</f>
        <v>0</v>
      </c>
      <c r="AE12" s="1">
        <f>'25'!P19</f>
        <v>0</v>
      </c>
      <c r="AF12" s="1">
        <f>'26'!P19</f>
        <v>0</v>
      </c>
      <c r="AG12" s="1">
        <f>'27'!P19</f>
        <v>0</v>
      </c>
      <c r="AH12" s="31">
        <f>'28'!P19</f>
        <v>0</v>
      </c>
    </row>
    <row r="13" spans="1:34">
      <c r="A13" s="201"/>
      <c r="B13" s="202"/>
      <c r="C13" s="203" t="s">
        <v>37</v>
      </c>
      <c r="D13" s="204"/>
      <c r="E13" s="205"/>
      <c r="F13" s="36" t="s">
        <v>35</v>
      </c>
      <c r="G13" s="1">
        <f>'01'!P20</f>
        <v>0</v>
      </c>
      <c r="H13" s="1">
        <f>'02'!P20</f>
        <v>0</v>
      </c>
      <c r="I13" s="1">
        <f>'03'!P20</f>
        <v>0</v>
      </c>
      <c r="J13" s="1">
        <f>'04'!P20</f>
        <v>0</v>
      </c>
      <c r="K13" s="1">
        <f>'05'!P20</f>
        <v>0.80600000000000005</v>
      </c>
      <c r="L13" s="1">
        <f>'06'!P20</f>
        <v>0</v>
      </c>
      <c r="M13" s="1">
        <f>'07'!P20</f>
        <v>0</v>
      </c>
      <c r="N13" s="1">
        <f>'08'!P20</f>
        <v>0</v>
      </c>
      <c r="O13" s="1">
        <f>'09'!P20</f>
        <v>0</v>
      </c>
      <c r="P13" s="1">
        <f>'10'!P20</f>
        <v>0</v>
      </c>
      <c r="Q13" s="1">
        <f>'11'!P20</f>
        <v>0</v>
      </c>
      <c r="R13" s="1">
        <f>'12'!P20</f>
        <v>0</v>
      </c>
      <c r="S13" s="1">
        <f>'13'!P20</f>
        <v>0</v>
      </c>
      <c r="T13" s="1">
        <f>'14'!P20</f>
        <v>0</v>
      </c>
      <c r="U13" s="1">
        <f>'15'!P20</f>
        <v>0</v>
      </c>
      <c r="V13" s="1">
        <f>'16'!P20</f>
        <v>0</v>
      </c>
      <c r="W13" s="1">
        <f>'17'!P20</f>
        <v>0</v>
      </c>
      <c r="X13" s="1">
        <f>'18'!P20</f>
        <v>0</v>
      </c>
      <c r="Y13" s="1">
        <f>'19'!P20</f>
        <v>0</v>
      </c>
      <c r="Z13" s="1">
        <f>'20'!P20</f>
        <v>0</v>
      </c>
      <c r="AA13" s="1">
        <f>'21'!P20</f>
        <v>0</v>
      </c>
      <c r="AB13" s="1">
        <f>'22'!P20</f>
        <v>0</v>
      </c>
      <c r="AC13" s="1">
        <f>'23'!P20</f>
        <v>0</v>
      </c>
      <c r="AD13" s="1">
        <f>'24'!P20</f>
        <v>0</v>
      </c>
      <c r="AE13" s="1">
        <f>'25'!P20</f>
        <v>0</v>
      </c>
      <c r="AF13" s="1">
        <f>'26'!P20</f>
        <v>0</v>
      </c>
      <c r="AG13" s="1">
        <f>'27'!P20</f>
        <v>0</v>
      </c>
      <c r="AH13" s="31">
        <f>'28'!P20</f>
        <v>0</v>
      </c>
    </row>
    <row r="14" spans="1:34">
      <c r="A14" s="193"/>
      <c r="B14" s="194"/>
      <c r="C14" s="195" t="s">
        <v>38</v>
      </c>
      <c r="D14" s="195"/>
      <c r="E14" s="195"/>
      <c r="F14" s="37">
        <f>F7*(0.5/100)</f>
        <v>0.2</v>
      </c>
      <c r="G14" s="1">
        <f>'01'!P21</f>
        <v>0</v>
      </c>
      <c r="H14" s="1">
        <f>'02'!P21</f>
        <v>1.2053</v>
      </c>
      <c r="I14" s="1">
        <f>'03'!P21</f>
        <v>1.2820999999999998</v>
      </c>
      <c r="J14" s="1">
        <f>'04'!P21</f>
        <v>1.2585</v>
      </c>
      <c r="K14" s="1">
        <f>'05'!P21</f>
        <v>0.753</v>
      </c>
      <c r="L14" s="1">
        <f>'06'!P21</f>
        <v>2.6579999999999999</v>
      </c>
      <c r="M14" s="1">
        <f>'07'!P21</f>
        <v>0.68100000000000005</v>
      </c>
      <c r="N14" s="1">
        <f>'08'!P21</f>
        <v>0</v>
      </c>
      <c r="O14" s="1">
        <f>'09'!P21</f>
        <v>0</v>
      </c>
      <c r="P14" s="1">
        <f>'10'!P21</f>
        <v>0</v>
      </c>
      <c r="Q14" s="1">
        <f>'11'!P21</f>
        <v>0</v>
      </c>
      <c r="R14" s="1">
        <f>'12'!P21</f>
        <v>0</v>
      </c>
      <c r="S14" s="1">
        <f>'13'!P21</f>
        <v>0</v>
      </c>
      <c r="T14" s="1">
        <f>'14'!P21</f>
        <v>0</v>
      </c>
      <c r="U14" s="1">
        <f>'15'!P21</f>
        <v>0</v>
      </c>
      <c r="V14" s="1">
        <f>'16'!P21</f>
        <v>0</v>
      </c>
      <c r="W14" s="1">
        <f>'17'!P21</f>
        <v>0</v>
      </c>
      <c r="X14" s="1">
        <f>'18'!P21</f>
        <v>0</v>
      </c>
      <c r="Y14" s="1">
        <f>'19'!P21</f>
        <v>0</v>
      </c>
      <c r="Z14" s="1">
        <f>'20'!P21</f>
        <v>0</v>
      </c>
      <c r="AA14" s="1">
        <f>'21'!P21</f>
        <v>0</v>
      </c>
      <c r="AB14" s="1">
        <f>'22'!P21</f>
        <v>0</v>
      </c>
      <c r="AC14" s="1">
        <f>'23'!P21</f>
        <v>0</v>
      </c>
      <c r="AD14" s="1">
        <f>'24'!P21</f>
        <v>0</v>
      </c>
      <c r="AE14" s="1">
        <f>'25'!P21</f>
        <v>1.37E-2</v>
      </c>
      <c r="AF14" s="1">
        <f>'26'!P21</f>
        <v>3.1581999999999999</v>
      </c>
      <c r="AG14" s="1">
        <f>'27'!P21</f>
        <v>3.6021999999999998</v>
      </c>
      <c r="AH14" s="31">
        <f>'28'!P21</f>
        <v>3.5173999999999999</v>
      </c>
    </row>
    <row r="15" spans="1:34">
      <c r="A15" s="191" t="s">
        <v>39</v>
      </c>
      <c r="B15" s="192"/>
      <c r="C15" s="188" t="s">
        <v>40</v>
      </c>
      <c r="D15" s="188"/>
      <c r="E15" s="188"/>
      <c r="F15" s="38">
        <v>24</v>
      </c>
      <c r="G15" s="1">
        <f>'01'!P22</f>
        <v>26.452999999999996</v>
      </c>
      <c r="H15" s="1">
        <f>'02'!P22</f>
        <v>26.442</v>
      </c>
      <c r="I15" s="1">
        <f>'03'!P22</f>
        <v>26.172999999999998</v>
      </c>
      <c r="J15" s="1">
        <f>'04'!P22</f>
        <v>0.27700000000000002</v>
      </c>
      <c r="K15" s="1">
        <f>'05'!P22</f>
        <v>0</v>
      </c>
      <c r="L15" s="1">
        <f>'06'!P22</f>
        <v>0</v>
      </c>
      <c r="M15" s="1">
        <f>'07'!P22</f>
        <v>0</v>
      </c>
      <c r="N15" s="1">
        <f>'08'!P22</f>
        <v>0</v>
      </c>
      <c r="O15" s="1">
        <f>'09'!P22</f>
        <v>0</v>
      </c>
      <c r="P15" s="1">
        <f>'10'!P22</f>
        <v>0</v>
      </c>
      <c r="Q15" s="1">
        <f>'11'!P22</f>
        <v>0</v>
      </c>
      <c r="R15" s="1">
        <f>'12'!P22</f>
        <v>0</v>
      </c>
      <c r="S15" s="1">
        <f>'13'!P22</f>
        <v>0</v>
      </c>
      <c r="T15" s="1">
        <f>'14'!P22</f>
        <v>25.274999999999999</v>
      </c>
      <c r="U15" s="1">
        <f>'15'!P22</f>
        <v>25.905000000000001</v>
      </c>
      <c r="V15" s="1">
        <f>'16'!P22</f>
        <v>20.684999999999999</v>
      </c>
      <c r="W15" s="1">
        <f>'17'!P22</f>
        <v>25.110999999999997</v>
      </c>
      <c r="X15" s="1">
        <f>'18'!P22</f>
        <v>26.456000000000003</v>
      </c>
      <c r="Y15" s="1">
        <f>'19'!P22</f>
        <v>26.450000000000003</v>
      </c>
      <c r="Z15" s="1">
        <f>'20'!P22</f>
        <v>26.451999999999998</v>
      </c>
      <c r="AA15" s="1">
        <f>'21'!P22</f>
        <v>5.734</v>
      </c>
      <c r="AB15" s="1">
        <f>'22'!P22</f>
        <v>0</v>
      </c>
      <c r="AC15" s="1">
        <f>'23'!P22</f>
        <v>0</v>
      </c>
      <c r="AD15" s="1">
        <f>'24'!P22</f>
        <v>0</v>
      </c>
      <c r="AE15" s="1">
        <f>'25'!P22</f>
        <v>0</v>
      </c>
      <c r="AF15" s="1">
        <f>'26'!P22</f>
        <v>0</v>
      </c>
      <c r="AG15" s="1">
        <f>'27'!P22</f>
        <v>0</v>
      </c>
      <c r="AH15" s="31">
        <f>'28'!P22</f>
        <v>0</v>
      </c>
    </row>
    <row r="16" spans="1:34">
      <c r="A16" s="193"/>
      <c r="B16" s="194"/>
      <c r="C16" s="195" t="s">
        <v>42</v>
      </c>
      <c r="D16" s="195"/>
      <c r="E16" s="195"/>
      <c r="F16" s="37">
        <v>24</v>
      </c>
      <c r="G16" s="1">
        <f>'01'!P23</f>
        <v>25.939</v>
      </c>
      <c r="H16" s="1">
        <f>'02'!P23</f>
        <v>24.91</v>
      </c>
      <c r="I16" s="1">
        <f>'03'!P23</f>
        <v>24.509</v>
      </c>
      <c r="J16" s="1">
        <f>'04'!P23</f>
        <v>6.3070000000000004</v>
      </c>
      <c r="K16" s="1">
        <f>'05'!P23</f>
        <v>0</v>
      </c>
      <c r="L16" s="1">
        <f>'06'!P23</f>
        <v>0</v>
      </c>
      <c r="M16" s="1">
        <f>'07'!P23</f>
        <v>0</v>
      </c>
      <c r="N16" s="1">
        <f>'08'!P23</f>
        <v>0</v>
      </c>
      <c r="O16" s="1">
        <f>'09'!P23</f>
        <v>0</v>
      </c>
      <c r="P16" s="1">
        <f>'10'!P23</f>
        <v>0</v>
      </c>
      <c r="Q16" s="1">
        <f>'11'!P23</f>
        <v>0</v>
      </c>
      <c r="R16" s="1">
        <f>'12'!P23</f>
        <v>0</v>
      </c>
      <c r="S16" s="1">
        <f>'13'!P23</f>
        <v>0</v>
      </c>
      <c r="T16" s="1">
        <f>'14'!P23</f>
        <v>14.295999999999999</v>
      </c>
      <c r="U16" s="1">
        <f>'15'!P23</f>
        <v>24.448999999999998</v>
      </c>
      <c r="V16" s="1">
        <f>'16'!P23</f>
        <v>23.948999999999998</v>
      </c>
      <c r="W16" s="1">
        <f>'17'!P23</f>
        <v>25.399000000000001</v>
      </c>
      <c r="X16" s="1">
        <f>'18'!P23</f>
        <v>26.584000000000003</v>
      </c>
      <c r="Y16" s="1">
        <f>'19'!P23</f>
        <v>26.365299999999998</v>
      </c>
      <c r="Z16" s="1">
        <f>'20'!P23</f>
        <v>26.271000000000001</v>
      </c>
      <c r="AA16" s="1">
        <f>'21'!P23</f>
        <v>8.9500000000000011</v>
      </c>
      <c r="AB16" s="1">
        <f>'22'!P23</f>
        <v>0</v>
      </c>
      <c r="AC16" s="1">
        <f>'23'!P23</f>
        <v>0</v>
      </c>
      <c r="AD16" s="1">
        <f>'24'!P23</f>
        <v>0</v>
      </c>
      <c r="AE16" s="1">
        <f>'25'!P23</f>
        <v>0</v>
      </c>
      <c r="AF16" s="1">
        <f>'26'!P23</f>
        <v>0</v>
      </c>
      <c r="AG16" s="1">
        <f>'27'!P23</f>
        <v>0</v>
      </c>
      <c r="AH16" s="31">
        <f>'28'!P23</f>
        <v>0</v>
      </c>
    </row>
    <row r="17" spans="1:34">
      <c r="A17" s="191" t="s">
        <v>44</v>
      </c>
      <c r="B17" s="192"/>
      <c r="C17" s="188" t="s">
        <v>45</v>
      </c>
      <c r="D17" s="188"/>
      <c r="E17" s="188"/>
      <c r="F17" s="38">
        <v>24</v>
      </c>
      <c r="G17" s="1">
        <f>'01'!P24</f>
        <v>26.225999999999999</v>
      </c>
      <c r="H17" s="1">
        <f>'02'!P24</f>
        <v>26.427</v>
      </c>
      <c r="I17" s="1">
        <f>'03'!P24</f>
        <v>26.430999999999997</v>
      </c>
      <c r="J17" s="1">
        <f>'04'!P24</f>
        <v>26.395</v>
      </c>
      <c r="K17" s="1">
        <f>'05'!P24</f>
        <v>0</v>
      </c>
      <c r="L17" s="1">
        <f>'06'!P24</f>
        <v>0</v>
      </c>
      <c r="M17" s="1">
        <f>'07'!P24</f>
        <v>8.3889999999999993</v>
      </c>
      <c r="N17" s="1">
        <f>'08'!P24</f>
        <v>18.227</v>
      </c>
      <c r="O17" s="1">
        <f>'09'!P24</f>
        <v>11.629999999999999</v>
      </c>
      <c r="P17" s="1">
        <f>'10'!P24</f>
        <v>0</v>
      </c>
      <c r="Q17" s="1">
        <f>'11'!P24</f>
        <v>0</v>
      </c>
      <c r="R17" s="1">
        <f>'12'!P24</f>
        <v>0</v>
      </c>
      <c r="S17" s="1">
        <f>'13'!P24</f>
        <v>0</v>
      </c>
      <c r="T17" s="1">
        <f>'14'!P24</f>
        <v>0</v>
      </c>
      <c r="U17" s="1">
        <f>'15'!P24</f>
        <v>17.233000000000001</v>
      </c>
      <c r="V17" s="1">
        <f>'16'!P24</f>
        <v>26.477000000000004</v>
      </c>
      <c r="W17" s="1">
        <f>'17'!P24</f>
        <v>26.408999999999999</v>
      </c>
      <c r="X17" s="1">
        <f>'18'!P24</f>
        <v>26.422000000000001</v>
      </c>
      <c r="Y17" s="1">
        <f>'19'!P24</f>
        <v>26.436999999999998</v>
      </c>
      <c r="Z17" s="1">
        <f>'20'!P24</f>
        <v>26.573999999999998</v>
      </c>
      <c r="AA17" s="1">
        <f>'21'!P24</f>
        <v>26.416000000000004</v>
      </c>
      <c r="AB17" s="1">
        <f>'22'!P24</f>
        <v>5.3390000000000004</v>
      </c>
      <c r="AC17" s="1">
        <f>'23'!P24</f>
        <v>0</v>
      </c>
      <c r="AD17" s="1">
        <f>'24'!P24</f>
        <v>0</v>
      </c>
      <c r="AE17" s="1">
        <f>'25'!P24</f>
        <v>0</v>
      </c>
      <c r="AF17" s="1">
        <f>'26'!P24</f>
        <v>0</v>
      </c>
      <c r="AG17" s="1">
        <f>'27'!P24</f>
        <v>0</v>
      </c>
      <c r="AH17" s="31">
        <f>'28'!P24</f>
        <v>0</v>
      </c>
    </row>
    <row r="18" spans="1:34">
      <c r="A18" s="196"/>
      <c r="B18" s="197"/>
      <c r="C18" s="189" t="s">
        <v>46</v>
      </c>
      <c r="D18" s="189"/>
      <c r="E18" s="189"/>
      <c r="F18" s="36" t="s">
        <v>35</v>
      </c>
      <c r="G18" s="1">
        <f>'01'!P25</f>
        <v>0.46189999999999998</v>
      </c>
      <c r="H18" s="1">
        <f>'02'!P25</f>
        <v>0.45950000000000002</v>
      </c>
      <c r="I18" s="1">
        <f>'03'!P25</f>
        <v>0.45810000000000006</v>
      </c>
      <c r="J18" s="1">
        <f>'04'!P25</f>
        <v>0.45930000000000004</v>
      </c>
      <c r="K18" s="1">
        <f>'05'!P25</f>
        <v>0</v>
      </c>
      <c r="L18" s="1">
        <f>'06'!P25</f>
        <v>0</v>
      </c>
      <c r="M18" s="1">
        <f>'07'!P25</f>
        <v>1.2648999999999999</v>
      </c>
      <c r="N18" s="1">
        <f>'08'!P25</f>
        <v>0.8599</v>
      </c>
      <c r="O18" s="1">
        <f>'09'!P25</f>
        <v>0.39479999999999998</v>
      </c>
      <c r="P18" s="1">
        <f>'10'!P25</f>
        <v>0</v>
      </c>
      <c r="Q18" s="1">
        <f>'11'!P25</f>
        <v>0</v>
      </c>
      <c r="R18" s="1">
        <f>'12'!P25</f>
        <v>0</v>
      </c>
      <c r="S18" s="1">
        <f>'13'!P25</f>
        <v>0</v>
      </c>
      <c r="T18" s="1">
        <f>'14'!P25</f>
        <v>0</v>
      </c>
      <c r="U18" s="1">
        <f>'15'!P25</f>
        <v>0.31859999999999999</v>
      </c>
      <c r="V18" s="1">
        <f>'16'!P25</f>
        <v>0.45750000000000002</v>
      </c>
      <c r="W18" s="1">
        <f>'17'!P25</f>
        <v>0.45660000000000001</v>
      </c>
      <c r="X18" s="1">
        <f>'18'!P25</f>
        <v>0.45430000000000004</v>
      </c>
      <c r="Y18" s="1">
        <f>'19'!P25</f>
        <v>0.45660000000000001</v>
      </c>
      <c r="Z18" s="1">
        <f>'20'!P25</f>
        <v>0.45679999999999998</v>
      </c>
      <c r="AA18" s="1">
        <f>'21'!P25</f>
        <v>0.45799999999999996</v>
      </c>
      <c r="AB18" s="1">
        <f>'22'!P25</f>
        <v>9.4700000000000006E-2</v>
      </c>
      <c r="AC18" s="1">
        <f>'23'!P25</f>
        <v>0</v>
      </c>
      <c r="AD18" s="1">
        <f>'24'!P25</f>
        <v>0</v>
      </c>
      <c r="AE18" s="1">
        <f>'25'!P25</f>
        <v>0</v>
      </c>
      <c r="AF18" s="1">
        <f>'26'!P25</f>
        <v>0</v>
      </c>
      <c r="AG18" s="1">
        <f>'27'!P25</f>
        <v>0</v>
      </c>
      <c r="AH18" s="31">
        <f>'28'!P25</f>
        <v>0</v>
      </c>
    </row>
    <row r="19" spans="1:34">
      <c r="A19" s="196"/>
      <c r="B19" s="197"/>
      <c r="C19" s="198" t="s">
        <v>48</v>
      </c>
      <c r="D19" s="199"/>
      <c r="E19" s="200"/>
      <c r="F19" s="36" t="s">
        <v>35</v>
      </c>
      <c r="G19" s="1">
        <f>'01'!P26</f>
        <v>24.878</v>
      </c>
      <c r="H19" s="1">
        <f>'02'!P26</f>
        <v>25.053000000000001</v>
      </c>
      <c r="I19" s="1">
        <f>'03'!P26</f>
        <v>25.052</v>
      </c>
      <c r="J19" s="1">
        <f>'04'!P26</f>
        <v>25.052</v>
      </c>
      <c r="K19" s="1">
        <f>'05'!P26</f>
        <v>0</v>
      </c>
      <c r="L19" s="1">
        <f>'06'!P26</f>
        <v>0</v>
      </c>
      <c r="M19" s="1">
        <f>'07'!P26</f>
        <v>6.9420000000000002</v>
      </c>
      <c r="N19" s="1">
        <f>'08'!P26</f>
        <v>15.753</v>
      </c>
      <c r="O19" s="1">
        <f>'09'!P26</f>
        <v>10.314</v>
      </c>
      <c r="P19" s="1">
        <f>'10'!P26</f>
        <v>0</v>
      </c>
      <c r="Q19" s="1">
        <f>'11'!P26</f>
        <v>0</v>
      </c>
      <c r="R19" s="1">
        <f>'12'!P26</f>
        <v>0</v>
      </c>
      <c r="S19" s="1">
        <f>'13'!P26</f>
        <v>0</v>
      </c>
      <c r="T19" s="1">
        <f>'14'!P26</f>
        <v>0</v>
      </c>
      <c r="U19" s="1">
        <f>'15'!P26</f>
        <v>16.244</v>
      </c>
      <c r="V19" s="1">
        <f>'16'!P26</f>
        <v>25.060000000000002</v>
      </c>
      <c r="W19" s="1">
        <f>'17'!P26</f>
        <v>25.167999999999999</v>
      </c>
      <c r="X19" s="1">
        <f>'18'!P26</f>
        <v>25.241999999999997</v>
      </c>
      <c r="Y19" s="1">
        <f>'19'!P26</f>
        <v>25.245000000000001</v>
      </c>
      <c r="Z19" s="1">
        <f>'20'!P26</f>
        <v>25.254999999999999</v>
      </c>
      <c r="AA19" s="1">
        <f>'21'!P26</f>
        <v>25.266999999999999</v>
      </c>
      <c r="AB19" s="1">
        <f>'22'!P26</f>
        <v>5.15</v>
      </c>
      <c r="AC19" s="1">
        <f>'23'!P26</f>
        <v>0</v>
      </c>
      <c r="AD19" s="1">
        <f>'24'!P26</f>
        <v>0</v>
      </c>
      <c r="AE19" s="1">
        <f>'25'!P26</f>
        <v>0</v>
      </c>
      <c r="AF19" s="1">
        <f>'26'!P26</f>
        <v>0</v>
      </c>
      <c r="AG19" s="1">
        <f>'27'!P26</f>
        <v>0</v>
      </c>
      <c r="AH19" s="31">
        <f>'28'!P26</f>
        <v>0</v>
      </c>
    </row>
    <row r="20" spans="1:34">
      <c r="A20" s="196"/>
      <c r="B20" s="197"/>
      <c r="C20" s="198" t="s">
        <v>50</v>
      </c>
      <c r="D20" s="199"/>
      <c r="E20" s="200"/>
      <c r="F20" s="36" t="s">
        <v>35</v>
      </c>
      <c r="G20" s="1">
        <f>'01'!P27</f>
        <v>0</v>
      </c>
      <c r="H20" s="1">
        <f>'02'!P27</f>
        <v>0</v>
      </c>
      <c r="I20" s="1">
        <f>'03'!P27</f>
        <v>0</v>
      </c>
      <c r="J20" s="1">
        <f>'04'!P27</f>
        <v>0</v>
      </c>
      <c r="K20" s="1">
        <f>'05'!P27</f>
        <v>0</v>
      </c>
      <c r="L20" s="1">
        <f>'06'!P27</f>
        <v>0</v>
      </c>
      <c r="M20" s="1">
        <f>'07'!P27</f>
        <v>0</v>
      </c>
      <c r="N20" s="1">
        <f>'08'!P27</f>
        <v>0</v>
      </c>
      <c r="O20" s="1">
        <f>'09'!P27</f>
        <v>0</v>
      </c>
      <c r="P20" s="1">
        <f>'10'!P27</f>
        <v>0</v>
      </c>
      <c r="Q20" s="1">
        <f>'11'!P27</f>
        <v>0</v>
      </c>
      <c r="R20" s="1">
        <f>'12'!P27</f>
        <v>0</v>
      </c>
      <c r="S20" s="1">
        <f>'13'!P27</f>
        <v>0</v>
      </c>
      <c r="T20" s="1">
        <f>'14'!P27</f>
        <v>0</v>
      </c>
      <c r="U20" s="1">
        <f>'15'!P27</f>
        <v>0</v>
      </c>
      <c r="V20" s="1">
        <f>'16'!P27</f>
        <v>0</v>
      </c>
      <c r="W20" s="1">
        <f>'17'!P27</f>
        <v>0</v>
      </c>
      <c r="X20" s="1">
        <f>'18'!P27</f>
        <v>0</v>
      </c>
      <c r="Y20" s="1">
        <f>'19'!P27</f>
        <v>0</v>
      </c>
      <c r="Z20" s="1">
        <f>'20'!P27</f>
        <v>0</v>
      </c>
      <c r="AA20" s="1">
        <f>'21'!P27</f>
        <v>0</v>
      </c>
      <c r="AB20" s="1">
        <f>'22'!P27</f>
        <v>0</v>
      </c>
      <c r="AC20" s="1">
        <f>'23'!P27</f>
        <v>0</v>
      </c>
      <c r="AD20" s="1">
        <f>'24'!P27</f>
        <v>0</v>
      </c>
      <c r="AE20" s="1">
        <f>'25'!P27</f>
        <v>0</v>
      </c>
      <c r="AF20" s="1">
        <f>'26'!P27</f>
        <v>0</v>
      </c>
      <c r="AG20" s="1">
        <f>'27'!P27</f>
        <v>0</v>
      </c>
      <c r="AH20" s="31">
        <f>'28'!P27</f>
        <v>0</v>
      </c>
    </row>
    <row r="21" spans="1:34">
      <c r="A21" s="193"/>
      <c r="B21" s="194"/>
      <c r="C21" s="195" t="s">
        <v>52</v>
      </c>
      <c r="D21" s="195"/>
      <c r="E21" s="195"/>
      <c r="F21" s="37" t="s">
        <v>35</v>
      </c>
      <c r="G21" s="1">
        <f>'01'!P28</f>
        <v>0.88300000000000001</v>
      </c>
      <c r="H21" s="1">
        <f>'02'!P28</f>
        <v>0.91510000000000002</v>
      </c>
      <c r="I21" s="1">
        <f>'03'!P28</f>
        <v>0.91490000000000005</v>
      </c>
      <c r="J21" s="1">
        <f>'04'!P28</f>
        <v>0.91559999999999997</v>
      </c>
      <c r="K21" s="1">
        <f>'05'!P28</f>
        <v>0</v>
      </c>
      <c r="L21" s="1">
        <f>'06'!P28</f>
        <v>0</v>
      </c>
      <c r="M21" s="1">
        <f>'07'!P28</f>
        <v>0.9788</v>
      </c>
      <c r="N21" s="1">
        <f>'08'!P28</f>
        <v>1.7991999999999999</v>
      </c>
      <c r="O21" s="1">
        <f>'09'!P28</f>
        <v>0.88770000000000004</v>
      </c>
      <c r="P21" s="1">
        <f>'10'!P28</f>
        <v>0</v>
      </c>
      <c r="Q21" s="1">
        <f>'11'!P28</f>
        <v>0</v>
      </c>
      <c r="R21" s="1">
        <f>'12'!P28</f>
        <v>0</v>
      </c>
      <c r="S21" s="1">
        <f>'13'!P28</f>
        <v>0</v>
      </c>
      <c r="T21" s="1">
        <f>'14'!P28</f>
        <v>0</v>
      </c>
      <c r="U21" s="1">
        <f>'15'!P28</f>
        <v>0.69690000000000007</v>
      </c>
      <c r="V21" s="1">
        <f>'16'!P28</f>
        <v>0.90659999999999996</v>
      </c>
      <c r="W21" s="1">
        <f>'17'!P28</f>
        <v>0.79660000000000009</v>
      </c>
      <c r="X21" s="1">
        <f>'18'!P28</f>
        <v>0.72089999999999999</v>
      </c>
      <c r="Y21" s="1">
        <f>'19'!P28</f>
        <v>0.72029999999999994</v>
      </c>
      <c r="Z21" s="1">
        <f>'20'!P28</f>
        <v>0.71640000000000004</v>
      </c>
      <c r="AA21" s="1">
        <f>'21'!P28</f>
        <v>0.72320000000000007</v>
      </c>
      <c r="AB21" s="1">
        <f>'22'!P28</f>
        <v>0.1482</v>
      </c>
      <c r="AC21" s="1">
        <f>'23'!P28</f>
        <v>0</v>
      </c>
      <c r="AD21" s="1">
        <f>'24'!P28</f>
        <v>0</v>
      </c>
      <c r="AE21" s="1">
        <f>'25'!P28</f>
        <v>0</v>
      </c>
      <c r="AF21" s="1">
        <f>'26'!P28</f>
        <v>0</v>
      </c>
      <c r="AG21" s="1">
        <f>'27'!P28</f>
        <v>0</v>
      </c>
      <c r="AH21" s="31">
        <f>'28'!P28</f>
        <v>0</v>
      </c>
    </row>
    <row r="22" spans="1:34">
      <c r="A22" s="182">
        <v>117</v>
      </c>
      <c r="B22" s="183"/>
      <c r="C22" s="188" t="s">
        <v>54</v>
      </c>
      <c r="D22" s="188"/>
      <c r="E22" s="188"/>
      <c r="F22" s="38"/>
      <c r="G22" s="1">
        <f>'01'!P29</f>
        <v>12.462</v>
      </c>
      <c r="H22" s="1">
        <f>'02'!P29</f>
        <v>0</v>
      </c>
      <c r="I22" s="1">
        <f>'03'!P29</f>
        <v>12.404</v>
      </c>
      <c r="J22" s="1">
        <f>'04'!P29</f>
        <v>12.182</v>
      </c>
      <c r="K22" s="1">
        <f>'05'!P29</f>
        <v>12.35</v>
      </c>
      <c r="L22" s="1">
        <f>'06'!P29</f>
        <v>0</v>
      </c>
      <c r="M22" s="1">
        <f>'07'!P29</f>
        <v>12.413</v>
      </c>
      <c r="N22" s="1">
        <f>'08'!P29</f>
        <v>12.584</v>
      </c>
      <c r="O22" s="1">
        <f>'09'!P29</f>
        <v>12.221</v>
      </c>
      <c r="P22" s="1">
        <f>'10'!P29</f>
        <v>0</v>
      </c>
      <c r="Q22" s="1">
        <f>'11'!P29</f>
        <v>12.323</v>
      </c>
      <c r="R22" s="1">
        <f>'12'!P29</f>
        <v>12.666</v>
      </c>
      <c r="S22" s="1">
        <f>'13'!P29</f>
        <v>0</v>
      </c>
      <c r="T22" s="1">
        <f>'14'!P29</f>
        <v>0</v>
      </c>
      <c r="U22" s="1">
        <f>'15'!P29</f>
        <v>0</v>
      </c>
      <c r="V22" s="1">
        <f>'16'!P29</f>
        <v>12.641</v>
      </c>
      <c r="W22" s="1">
        <f>'17'!P29</f>
        <v>12.446</v>
      </c>
      <c r="X22" s="1">
        <f>'18'!P29</f>
        <v>12.699</v>
      </c>
      <c r="Y22" s="1">
        <f>'19'!P29</f>
        <v>0</v>
      </c>
      <c r="Z22" s="1">
        <f>'20'!P29</f>
        <v>12.564</v>
      </c>
      <c r="AA22" s="1">
        <f>'21'!P29</f>
        <v>12.276</v>
      </c>
      <c r="AB22" s="1">
        <f>'22'!P29</f>
        <v>12.532999999999999</v>
      </c>
      <c r="AC22" s="1">
        <f>'23'!P29</f>
        <v>0</v>
      </c>
      <c r="AD22" s="1">
        <f>'24'!P29</f>
        <v>0</v>
      </c>
      <c r="AE22" s="1">
        <f>'25'!P29</f>
        <v>12.416</v>
      </c>
      <c r="AF22" s="1">
        <f>'26'!P29</f>
        <v>0</v>
      </c>
      <c r="AG22" s="1">
        <f>'27'!P29</f>
        <v>12.196999999999999</v>
      </c>
      <c r="AH22" s="31">
        <f>'28'!P29</f>
        <v>12.423</v>
      </c>
    </row>
    <row r="23" spans="1:34">
      <c r="A23" s="184"/>
      <c r="B23" s="185"/>
      <c r="C23" s="189" t="s">
        <v>56</v>
      </c>
      <c r="D23" s="189"/>
      <c r="E23" s="189"/>
      <c r="F23" s="36"/>
      <c r="G23" s="1">
        <f>'01'!P30</f>
        <v>0</v>
      </c>
      <c r="H23" s="1">
        <f>'02'!P30</f>
        <v>0</v>
      </c>
      <c r="I23" s="1">
        <f>'03'!P30</f>
        <v>0</v>
      </c>
      <c r="J23" s="1">
        <f>'04'!P30</f>
        <v>0</v>
      </c>
      <c r="K23" s="1">
        <f>'05'!P30</f>
        <v>0</v>
      </c>
      <c r="L23" s="1">
        <f>'06'!P30</f>
        <v>0</v>
      </c>
      <c r="M23" s="1">
        <f>'07'!P30</f>
        <v>0</v>
      </c>
      <c r="N23" s="1">
        <f>'08'!P30</f>
        <v>0</v>
      </c>
      <c r="O23" s="1">
        <f>'09'!P30</f>
        <v>0</v>
      </c>
      <c r="P23" s="1">
        <f>'10'!P30</f>
        <v>0</v>
      </c>
      <c r="Q23" s="1">
        <f>'11'!P30</f>
        <v>0</v>
      </c>
      <c r="R23" s="1">
        <f>'12'!P30</f>
        <v>0</v>
      </c>
      <c r="S23" s="1">
        <f>'13'!P30</f>
        <v>0</v>
      </c>
      <c r="T23" s="1">
        <f>'14'!P30</f>
        <v>0</v>
      </c>
      <c r="U23" s="1">
        <f>'15'!P30</f>
        <v>0</v>
      </c>
      <c r="V23" s="1">
        <f>'16'!P30</f>
        <v>0</v>
      </c>
      <c r="W23" s="1">
        <f>'17'!P30</f>
        <v>0</v>
      </c>
      <c r="X23" s="1">
        <f>'18'!P30</f>
        <v>0</v>
      </c>
      <c r="Y23" s="1">
        <f>'19'!P30</f>
        <v>0</v>
      </c>
      <c r="Z23" s="1">
        <f>'20'!P30</f>
        <v>0</v>
      </c>
      <c r="AA23" s="1">
        <f>'21'!P30</f>
        <v>0</v>
      </c>
      <c r="AB23" s="1">
        <f>'22'!P30</f>
        <v>0</v>
      </c>
      <c r="AC23" s="1">
        <f>'23'!P30</f>
        <v>0</v>
      </c>
      <c r="AD23" s="1">
        <f>'24'!P30</f>
        <v>0</v>
      </c>
      <c r="AE23" s="1">
        <f>'25'!P30</f>
        <v>0</v>
      </c>
      <c r="AF23" s="1">
        <f>'26'!P30</f>
        <v>0</v>
      </c>
      <c r="AG23" s="1">
        <f>'27'!P30</f>
        <v>0</v>
      </c>
      <c r="AH23" s="31">
        <f>'28'!P30</f>
        <v>0</v>
      </c>
    </row>
    <row r="24" spans="1:34">
      <c r="A24" s="184"/>
      <c r="B24" s="185"/>
      <c r="C24" s="189" t="s">
        <v>57</v>
      </c>
      <c r="D24" s="189"/>
      <c r="E24" s="189"/>
      <c r="F24" s="36"/>
      <c r="G24" s="1">
        <f>'01'!P31</f>
        <v>2.4670000000000001</v>
      </c>
      <c r="H24" s="1">
        <f>'02'!P31</f>
        <v>0</v>
      </c>
      <c r="I24" s="1">
        <f>'03'!P31</f>
        <v>2.464</v>
      </c>
      <c r="J24" s="1">
        <f>'04'!P31</f>
        <v>2.4700000000000002</v>
      </c>
      <c r="K24" s="1">
        <f>'05'!P31</f>
        <v>2.468</v>
      </c>
      <c r="L24" s="1">
        <f>'06'!P31</f>
        <v>0</v>
      </c>
      <c r="M24" s="1">
        <f>'07'!P31</f>
        <v>2.468</v>
      </c>
      <c r="N24" s="1">
        <f>'08'!P31</f>
        <v>2.4630000000000001</v>
      </c>
      <c r="O24" s="1">
        <f>'09'!P31</f>
        <v>2.4649999999999999</v>
      </c>
      <c r="P24" s="1">
        <f>'10'!P31</f>
        <v>0</v>
      </c>
      <c r="Q24" s="1">
        <f>'11'!P31</f>
        <v>2.4670000000000001</v>
      </c>
      <c r="R24" s="1">
        <f>'12'!P31</f>
        <v>2.4689999999999999</v>
      </c>
      <c r="S24" s="1">
        <f>'13'!P31</f>
        <v>0</v>
      </c>
      <c r="T24" s="1">
        <f>'14'!P31</f>
        <v>0</v>
      </c>
      <c r="U24" s="1">
        <f>'15'!P31</f>
        <v>0</v>
      </c>
      <c r="V24" s="1">
        <f>'16'!P31</f>
        <v>2.4689999999999999</v>
      </c>
      <c r="W24" s="1">
        <f>'17'!P31</f>
        <v>2.4670000000000001</v>
      </c>
      <c r="X24" s="1">
        <f>'18'!P31</f>
        <v>2.4670000000000001</v>
      </c>
      <c r="Y24" s="1">
        <f>'19'!P31</f>
        <v>0</v>
      </c>
      <c r="Z24" s="1">
        <f>'20'!P31</f>
        <v>2.4660000000000002</v>
      </c>
      <c r="AA24" s="1">
        <f>'21'!P31</f>
        <v>2.4660000000000002</v>
      </c>
      <c r="AB24" s="1">
        <f>'22'!P31</f>
        <v>2.544</v>
      </c>
      <c r="AC24" s="1">
        <f>'23'!P31</f>
        <v>0</v>
      </c>
      <c r="AD24" s="1">
        <f>'24'!P31</f>
        <v>0</v>
      </c>
      <c r="AE24" s="1">
        <f>'25'!P31</f>
        <v>2.4649999999999999</v>
      </c>
      <c r="AF24" s="1">
        <f>'26'!P31</f>
        <v>0</v>
      </c>
      <c r="AG24" s="1">
        <f>'27'!P31</f>
        <v>2.4670000000000001</v>
      </c>
      <c r="AH24" s="31">
        <f>'28'!P31</f>
        <v>2.468</v>
      </c>
    </row>
    <row r="25" spans="1:34">
      <c r="A25" s="184"/>
      <c r="B25" s="185"/>
      <c r="C25" s="189" t="s">
        <v>59</v>
      </c>
      <c r="D25" s="189"/>
      <c r="E25" s="189"/>
      <c r="F25" s="36"/>
      <c r="G25" s="1">
        <f>'01'!P32</f>
        <v>10.039999999999999</v>
      </c>
      <c r="H25" s="1">
        <f>'02'!P32</f>
        <v>12.978000000000002</v>
      </c>
      <c r="I25" s="1">
        <f>'03'!P32</f>
        <v>0.91900000000000004</v>
      </c>
      <c r="J25" s="1">
        <f>'04'!P32</f>
        <v>12.063000000000001</v>
      </c>
      <c r="K25" s="1">
        <f>'05'!P32</f>
        <v>12.821999999999999</v>
      </c>
      <c r="L25" s="1">
        <f>'06'!P32</f>
        <v>12.929</v>
      </c>
      <c r="M25" s="1">
        <f>'07'!P32</f>
        <v>1.3320000000000001</v>
      </c>
      <c r="N25" s="1">
        <f>'08'!P32</f>
        <v>11.291</v>
      </c>
      <c r="O25" s="1">
        <f>'09'!P32</f>
        <v>12.988</v>
      </c>
      <c r="P25" s="1">
        <f>'10'!P32</f>
        <v>12.957000000000001</v>
      </c>
      <c r="Q25" s="1">
        <f>'11'!P32</f>
        <v>1.792</v>
      </c>
      <c r="R25" s="1">
        <f>'12'!P32</f>
        <v>10.664999999999999</v>
      </c>
      <c r="S25" s="1">
        <f>'13'!P32</f>
        <v>12.964</v>
      </c>
      <c r="T25" s="1">
        <f>'14'!P32</f>
        <v>9.1110000000000007</v>
      </c>
      <c r="U25" s="1">
        <f>'15'!P32</f>
        <v>3.714</v>
      </c>
      <c r="V25" s="1">
        <f>'16'!P32</f>
        <v>0</v>
      </c>
      <c r="W25" s="1">
        <f>'17'!P32</f>
        <v>0</v>
      </c>
      <c r="X25" s="1">
        <f>'18'!P32</f>
        <v>12.8123</v>
      </c>
      <c r="Y25" s="1">
        <f>'19'!P32</f>
        <v>8.625</v>
      </c>
      <c r="Z25" s="1">
        <f>'20'!P32</f>
        <v>5.5016099999999994</v>
      </c>
      <c r="AA25" s="1">
        <f>'21'!P32</f>
        <v>11.612310000000001</v>
      </c>
      <c r="AB25" s="1">
        <f>'22'!P32</f>
        <v>12.895950000000001</v>
      </c>
      <c r="AC25" s="1">
        <f>'23'!P32</f>
        <v>9.0739999999999998</v>
      </c>
      <c r="AD25" s="1">
        <f>'24'!P32</f>
        <v>3.8260000000000001</v>
      </c>
      <c r="AE25" s="1">
        <f>'25'!P32</f>
        <v>12.939159999999999</v>
      </c>
      <c r="AF25" s="1">
        <f>'26'!P32</f>
        <v>0</v>
      </c>
      <c r="AG25" s="1">
        <f>'27'!P32</f>
        <v>12.8406</v>
      </c>
      <c r="AH25" s="31">
        <f>'28'!P32</f>
        <v>0</v>
      </c>
    </row>
    <row r="26" spans="1:34" ht="16.5" thickBot="1">
      <c r="A26" s="186"/>
      <c r="B26" s="187"/>
      <c r="C26" s="190" t="s">
        <v>61</v>
      </c>
      <c r="D26" s="190"/>
      <c r="E26" s="190"/>
      <c r="F26" s="112"/>
      <c r="G26" s="39">
        <f>'01'!P33</f>
        <v>0</v>
      </c>
      <c r="H26" s="39">
        <f>'02'!P33</f>
        <v>0</v>
      </c>
      <c r="I26" s="39">
        <f>'03'!P33</f>
        <v>0</v>
      </c>
      <c r="J26" s="39">
        <f>'04'!P33</f>
        <v>0</v>
      </c>
      <c r="K26" s="39">
        <f>'05'!P33</f>
        <v>0</v>
      </c>
      <c r="L26" s="39">
        <f>'06'!P33</f>
        <v>0</v>
      </c>
      <c r="M26" s="39">
        <f>'07'!P33</f>
        <v>0</v>
      </c>
      <c r="N26" s="39">
        <f>'08'!P33</f>
        <v>0</v>
      </c>
      <c r="O26" s="39">
        <f>'09'!P33</f>
        <v>0</v>
      </c>
      <c r="P26" s="39">
        <f>'10'!P33</f>
        <v>0</v>
      </c>
      <c r="Q26" s="39">
        <f>'11'!P33</f>
        <v>0</v>
      </c>
      <c r="R26" s="39">
        <f>'12'!P33</f>
        <v>0</v>
      </c>
      <c r="S26" s="39">
        <f>'13'!P33</f>
        <v>0</v>
      </c>
      <c r="T26" s="39">
        <f>'14'!P33</f>
        <v>0</v>
      </c>
      <c r="U26" s="39">
        <f>'15'!P33</f>
        <v>0</v>
      </c>
      <c r="V26" s="39">
        <f>'16'!P33</f>
        <v>0</v>
      </c>
      <c r="W26" s="39">
        <f>'17'!P33</f>
        <v>0</v>
      </c>
      <c r="X26" s="39">
        <f>'18'!P33</f>
        <v>0</v>
      </c>
      <c r="Y26" s="39">
        <f>'19'!P33</f>
        <v>0</v>
      </c>
      <c r="Z26" s="39">
        <f>'20'!P33</f>
        <v>0</v>
      </c>
      <c r="AA26" s="39">
        <f>'21'!P33</f>
        <v>0</v>
      </c>
      <c r="AB26" s="39">
        <f>'22'!P33</f>
        <v>0</v>
      </c>
      <c r="AC26" s="39">
        <f>'23'!P33</f>
        <v>0</v>
      </c>
      <c r="AD26" s="39">
        <f>'24'!P33</f>
        <v>0</v>
      </c>
      <c r="AE26" s="39">
        <f>'25'!P33</f>
        <v>0</v>
      </c>
      <c r="AF26" s="39">
        <f>'26'!P33</f>
        <v>0</v>
      </c>
      <c r="AG26" s="39">
        <f>'27'!P33</f>
        <v>0</v>
      </c>
      <c r="AH26" s="40">
        <f>'28'!P33</f>
        <v>0</v>
      </c>
    </row>
    <row r="27" spans="1:34" customFormat="1" ht="15"/>
    <row r="28" spans="1:34" customFormat="1" ht="15"/>
    <row r="29" spans="1:34" customFormat="1" ht="15"/>
    <row r="30" spans="1:34" customFormat="1" ht="15"/>
    <row r="31" spans="1:34" customFormat="1" ht="15"/>
    <row r="32" spans="1:34" customFormat="1" ht="15"/>
    <row r="33" customFormat="1" ht="15"/>
    <row r="34" customFormat="1" ht="15"/>
    <row r="35" customFormat="1" ht="15"/>
    <row r="36" customFormat="1" ht="15"/>
    <row r="37" customFormat="1" ht="16.5" customHeight="1"/>
    <row r="38" customFormat="1" ht="15"/>
    <row r="39" customFormat="1" ht="15"/>
    <row r="40" customFormat="1" ht="15"/>
    <row r="41" customFormat="1" ht="15"/>
    <row r="42" customFormat="1" ht="15"/>
    <row r="43" customFormat="1" ht="15"/>
    <row r="44" customFormat="1" ht="15"/>
    <row r="45" customFormat="1" ht="15"/>
    <row r="46" customFormat="1" ht="15"/>
    <row r="47" customFormat="1" ht="15"/>
    <row r="48" customFormat="1" ht="15"/>
    <row r="49" customFormat="1" ht="15"/>
    <row r="50" customFormat="1" ht="15"/>
    <row r="51" customFormat="1" ht="15"/>
    <row r="52" customFormat="1" ht="15"/>
    <row r="53" customFormat="1" ht="15"/>
    <row r="54" customFormat="1" ht="15"/>
    <row r="55" customFormat="1" ht="15"/>
    <row r="56" customFormat="1" ht="15"/>
    <row r="57" customFormat="1" ht="15"/>
    <row r="58" customFormat="1" ht="15"/>
    <row r="59" customFormat="1" ht="15"/>
    <row r="60" customFormat="1" ht="15"/>
    <row r="61" customFormat="1" ht="15"/>
    <row r="62" customFormat="1" ht="15"/>
    <row r="63" customFormat="1" ht="15"/>
    <row r="64" customFormat="1" ht="15"/>
    <row r="65" customFormat="1" ht="15"/>
    <row r="66" customFormat="1" ht="15"/>
    <row r="67" customFormat="1" ht="15"/>
    <row r="68" customFormat="1" ht="15"/>
    <row r="69" customFormat="1" ht="15"/>
    <row r="70" customFormat="1" ht="15"/>
    <row r="71" customFormat="1" ht="15"/>
    <row r="72" customFormat="1" ht="15"/>
    <row r="73" customFormat="1" ht="15"/>
    <row r="74" customFormat="1" ht="15"/>
    <row r="75" customFormat="1" ht="15"/>
    <row r="76" customFormat="1" ht="15"/>
    <row r="77" customFormat="1" ht="15"/>
    <row r="78" customFormat="1" ht="15"/>
    <row r="79" customFormat="1" ht="15.75" customHeight="1"/>
    <row r="80" customFormat="1" ht="15"/>
    <row r="81" customFormat="1" ht="15"/>
    <row r="82" customFormat="1" ht="15"/>
    <row r="83" customFormat="1" ht="15"/>
    <row r="84" customFormat="1" ht="15"/>
    <row r="85" customFormat="1" ht="15"/>
    <row r="86" customFormat="1" ht="15"/>
    <row r="87" customFormat="1" ht="15"/>
    <row r="88" customFormat="1" ht="15"/>
    <row r="89" customFormat="1" ht="15"/>
    <row r="90" customFormat="1" ht="15"/>
    <row r="91" customFormat="1" ht="15"/>
    <row r="92" customFormat="1" ht="15"/>
    <row r="93" customFormat="1" ht="15"/>
    <row r="94" customFormat="1" ht="15"/>
    <row r="95" customFormat="1" ht="15"/>
    <row r="96" customFormat="1" ht="15"/>
    <row r="97" customFormat="1" ht="15"/>
    <row r="98" customFormat="1" ht="15"/>
    <row r="99" customFormat="1" ht="15"/>
    <row r="100" customFormat="1" ht="15"/>
    <row r="101" customFormat="1" ht="15"/>
    <row r="102" customFormat="1" ht="15"/>
    <row r="103" customFormat="1" ht="15"/>
    <row r="104" customFormat="1" ht="15"/>
    <row r="105" customFormat="1" ht="15"/>
    <row r="106" customFormat="1" ht="15"/>
    <row r="107" customFormat="1" ht="15"/>
  </sheetData>
  <mergeCells count="32">
    <mergeCell ref="A1:R1"/>
    <mergeCell ref="A2:B3"/>
    <mergeCell ref="C2:E3"/>
    <mergeCell ref="G2:AH2"/>
    <mergeCell ref="A4:B6"/>
    <mergeCell ref="C4:E4"/>
    <mergeCell ref="C5:E5"/>
    <mergeCell ref="C6:E6"/>
    <mergeCell ref="A7:B14"/>
    <mergeCell ref="C7:E7"/>
    <mergeCell ref="C8:E8"/>
    <mergeCell ref="C9:E9"/>
    <mergeCell ref="C10:E10"/>
    <mergeCell ref="C11:E11"/>
    <mergeCell ref="C12:E12"/>
    <mergeCell ref="C13:E13"/>
    <mergeCell ref="C14:E14"/>
    <mergeCell ref="A15:B16"/>
    <mergeCell ref="C15:E15"/>
    <mergeCell ref="C16:E16"/>
    <mergeCell ref="A17:B21"/>
    <mergeCell ref="C17:E17"/>
    <mergeCell ref="C18:E18"/>
    <mergeCell ref="C19:E19"/>
    <mergeCell ref="C20:E20"/>
    <mergeCell ref="C21:E21"/>
    <mergeCell ref="A22:B26"/>
    <mergeCell ref="C22:E22"/>
    <mergeCell ref="C23:E23"/>
    <mergeCell ref="C24:E24"/>
    <mergeCell ref="C25:E25"/>
    <mergeCell ref="C26:E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8</vt:i4>
      </vt:variant>
    </vt:vector>
  </HeadingPairs>
  <TitlesOfParts>
    <vt:vector size="38" baseType="lpstr">
      <vt:lpstr>Sign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Summary</vt:lpstr>
      <vt:lpstr>_</vt:lpstr>
      <vt:lpstr>M.Yusof</vt:lpstr>
      <vt:lpstr>Meikel_Sanjaya</vt:lpstr>
      <vt:lpstr>Mohd_Sufi</vt:lpstr>
      <vt:lpstr>Name</vt:lpstr>
      <vt:lpstr>Nil</vt:lpstr>
      <vt:lpstr>Ronal_Gultom</vt:lpstr>
      <vt:lpstr>SPT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Rintaldi Ghazian Hindami</dc:creator>
  <cp:lastModifiedBy>Fatwa Rafiudin</cp:lastModifiedBy>
  <dcterms:created xsi:type="dcterms:W3CDTF">2026-03-08T09:44:19Z</dcterms:created>
  <dcterms:modified xsi:type="dcterms:W3CDTF">2026-03-16T10:30:57Z</dcterms:modified>
</cp:coreProperties>
</file>